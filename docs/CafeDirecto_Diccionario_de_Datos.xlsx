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ccionario" sheetId="2" state="visible" r:id="rId4"/>
    <sheet name="Relaciones" sheetId="3" state="visible" r:id="rId5"/>
    <sheet name="Índices" sheetId="4" state="visible" r:id="rId6"/>
    <sheet name="Valo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<sst xmlns="http://schemas.openxmlformats.org/spreadsheetml/2006/main" count="1770" uniqueCount="764">
  <si>
    <t xml:space="preserve">Diccionario de datos · CaféDirecto</t>
  </si>
  <si>
    <t xml:space="preserve">Base de datos PostgreSQL 16 (Railway) · esquema: server/src/schema.sql · versión 3.1 (auditoría) · 28 de octubre de 2026</t>
  </si>
  <si>
    <t xml:space="preserve">Hojas: Diccionario (campo por campo) · Relaciones (llaves foráneas) · Índices · Valores (dominios permitidos). PK = llave primaria, FK = llave foránea, UK = valor único.</t>
  </si>
  <si>
    <t xml:space="preserve">N.º</t>
  </si>
  <si>
    <t xml:space="preserve">Tabla</t>
  </si>
  <si>
    <t xml:space="preserve">Módulo</t>
  </si>
  <si>
    <t xml:space="preserve">Descripción</t>
  </si>
  <si>
    <t xml:space="preserve">N.º de campos</t>
  </si>
  <si>
    <t xml:space="preserve">Llaves foráneas</t>
  </si>
  <si>
    <t xml:space="preserve">users</t>
  </si>
  <si>
    <t xml:space="preserve">Cuentas</t>
  </si>
  <si>
    <t xml:space="preserve">Cuentas de usuario: caficultores y compradores.</t>
  </si>
  <si>
    <t xml:space="preserve">farms</t>
  </si>
  <si>
    <t xml:space="preserve">Perfil de la finca del caficultor (1 a 1 con users).</t>
  </si>
  <si>
    <t xml:space="preserve">buyers</t>
  </si>
  <si>
    <t xml:space="preserve">Perfil de la empresa del comprador (1 a 1 con users).</t>
  </si>
  <si>
    <t xml:space="preserve">password_resets</t>
  </si>
  <si>
    <t xml:space="preserve">Código vigente para recuperar la contraseña (uno por usuario).</t>
  </si>
  <si>
    <t xml:space="preserve">images</t>
  </si>
  <si>
    <t xml:space="preserve">Archivos</t>
  </si>
  <si>
    <t xml:space="preserve">Fotos subidas por los usuarios (perfil, finca, lotes, chat), guardadas en la base.</t>
  </si>
  <si>
    <t xml:space="preserve">lots</t>
  </si>
  <si>
    <t xml:space="preserve">Catálogo</t>
  </si>
  <si>
    <t xml:space="preserve">Lotes de café publicados por los caficultores.</t>
  </si>
  <si>
    <t xml:space="preserve">lot_views</t>
  </si>
  <si>
    <t xml:space="preserve">Compradores que abrieron un lote; base de los avisos de interés.</t>
  </si>
  <si>
    <t xml:space="preserve">conversations</t>
  </si>
  <si>
    <t xml:space="preserve">Chat</t>
  </si>
  <si>
    <t xml:space="preserve">Chat entre un caficultor y un comprador (uno por pareja).</t>
  </si>
  <si>
    <t xml:space="preserve">messages</t>
  </si>
  <si>
    <t xml:space="preserve">Mensajes del chat: texto traducido, foto, cotización, acuerdo o aviso del sistema.</t>
  </si>
  <si>
    <t xml:space="preserve">agreements</t>
  </si>
  <si>
    <t xml:space="preserve">Acuerdos</t>
  </si>
  <si>
    <t xml:space="preserve">Acuerdos de compra registrados (por cotización o por subasta).</t>
  </si>
  <si>
    <t xml:space="preserve">ratings</t>
  </si>
  <si>
    <t xml:space="preserve">Calificación mutua al terminar un acuerdo (una por persona y acuerdo).</t>
  </si>
  <si>
    <t xml:space="preserve">quality_reports</t>
  </si>
  <si>
    <t xml:space="preserve">Reporte de calidad que emite el comprador tras la entrega (RF-22).</t>
  </si>
  <si>
    <t xml:space="preserve">disputes</t>
  </si>
  <si>
    <t xml:space="preserve">Disputas sobre un acuerdo y su historial (RF-19).</t>
  </si>
  <si>
    <t xml:space="preserve">auctions</t>
  </si>
  <si>
    <t xml:space="preserve">Subastas</t>
  </si>
  <si>
    <t xml:space="preserve">Subastas de lotes con precio base y fecha de cierre.</t>
  </si>
  <si>
    <t xml:space="preserve">bids</t>
  </si>
  <si>
    <t xml:space="preserve">Ofertas (pujas) de los compradores en una subasta.</t>
  </si>
  <si>
    <t xml:space="preserve">notifications</t>
  </si>
  <si>
    <t xml:space="preserve">Notificaciones</t>
  </si>
  <si>
    <t xml:space="preserve">Avisos de la campanita y del teléfono.</t>
  </si>
  <si>
    <t xml:space="preserve">market_snapshots</t>
  </si>
  <si>
    <t xml:space="preserve">Mercado</t>
  </si>
  <si>
    <t xml:space="preserve">Registro diario de precios del café para el histórico.</t>
  </si>
  <si>
    <t xml:space="preserve">Total</t>
  </si>
  <si>
    <t xml:space="preserve">Notas</t>
  </si>
  <si>
    <t xml:space="preserve">• Las tablas se crean solas al arrancar el servidor (CREATE TABLE IF NOT EXISTS): no hay que ejecutar scripts a mano.</t>
  </si>
  <si>
    <t xml:space="preserve">• Los textos que escribe una persona (historia, descripción, comentarios) se guardan en español e inglés (_es / _en), traducidos automáticamente.</t>
  </si>
  <si>
    <t xml:space="preserve">• Los precios en US$ son por libra de café verde; los precios en COP son por carga de 125 kg de café pergamino seco.</t>
  </si>
  <si>
    <t xml:space="preserve">• Un saco equivale a 70 kg de café verde.</t>
  </si>
  <si>
    <t xml:space="preserve">• «(lógica)» en Referencia indica un vínculo que se respeta en el código pero no tiene FOREIGN KEY en la base.</t>
  </si>
  <si>
    <t xml:space="preserve">Campo</t>
  </si>
  <si>
    <t xml:space="preserve">Tipo de dato</t>
  </si>
  <si>
    <t xml:space="preserve">¿Acepta nulo?</t>
  </si>
  <si>
    <t xml:space="preserve">Valor por defecto</t>
  </si>
  <si>
    <t xml:space="preserve">Llave</t>
  </si>
  <si>
    <t xml:space="preserve">Referencia</t>
  </si>
  <si>
    <t xml:space="preserve">Restricciones / reglas</t>
  </si>
  <si>
    <t xml:space="preserve">Ejemplo</t>
  </si>
  <si>
    <t xml:space="preserve">id</t>
  </si>
  <si>
    <t xml:space="preserve">SERIAL</t>
  </si>
  <si>
    <t xml:space="preserve">No</t>
  </si>
  <si>
    <t xml:space="preserve">autoincremental</t>
  </si>
  <si>
    <t xml:space="preserve">PK</t>
  </si>
  <si>
    <t xml:space="preserve">Identificador del usuario.</t>
  </si>
  <si>
    <t xml:space="preserve">12</t>
  </si>
  <si>
    <t xml:space="preserve">email</t>
  </si>
  <si>
    <t xml:space="preserve">TEXT</t>
  </si>
  <si>
    <t xml:space="preserve">UK</t>
  </si>
  <si>
    <t xml:space="preserve">Único; se guarda en minúsculas</t>
  </si>
  <si>
    <t xml:space="preserve">Correo con el que inicia sesión.</t>
  </si>
  <si>
    <t xml:space="preserve">luz@finca.co</t>
  </si>
  <si>
    <t xml:space="preserve">password_hash</t>
  </si>
  <si>
    <t xml:space="preserve">Hash bcrypt (costo 10); clave nueva: 8+ con letras y números</t>
  </si>
  <si>
    <t xml:space="preserve">Contraseña cifrada; nunca se guarda en texto plano.</t>
  </si>
  <si>
    <t xml:space="preserve">$2a$10$…</t>
  </si>
  <si>
    <t xml:space="preserve">role</t>
  </si>
  <si>
    <t xml:space="preserve">IN ('farmer','buyer')</t>
  </si>
  <si>
    <t xml:space="preserve">Rol: caficultor o comprador.</t>
  </si>
  <si>
    <t xml:space="preserve">farmer</t>
  </si>
  <si>
    <t xml:space="preserve">name</t>
  </si>
  <si>
    <t xml:space="preserve">Máx. 120 caracteres</t>
  </si>
  <si>
    <t xml:space="preserve">Nombre de la persona.</t>
  </si>
  <si>
    <t xml:space="preserve">Luz Marina Rojas</t>
  </si>
  <si>
    <t xml:space="preserve">phone</t>
  </si>
  <si>
    <t xml:space="preserve">Sí</t>
  </si>
  <si>
    <t xml:space="preserve">Máx. 40 caracteres</t>
  </si>
  <si>
    <t xml:space="preserve">Celular (opcional).</t>
  </si>
  <si>
    <t xml:space="preserve">+57 310 000 0000</t>
  </si>
  <si>
    <t xml:space="preserve">lang</t>
  </si>
  <si>
    <t xml:space="preserve">'es'</t>
  </si>
  <si>
    <t xml:space="preserve">IN ('es','en')</t>
  </si>
  <si>
    <t xml:space="preserve">Idioma de la app; los mensajes recibidos se traducen a este idioma.</t>
  </si>
  <si>
    <t xml:space="preserve">es</t>
  </si>
  <si>
    <t xml:space="preserve">photo_id</t>
  </si>
  <si>
    <t xml:space="preserve">INTEGER</t>
  </si>
  <si>
    <t xml:space="preserve">FK</t>
  </si>
  <si>
    <t xml:space="preserve">images.id</t>
  </si>
  <si>
    <t xml:space="preserve">ON DELETE SET NULL</t>
  </si>
  <si>
    <t xml:space="preserve">Foto de perfil.</t>
  </si>
  <si>
    <t xml:space="preserve">5</t>
  </si>
  <si>
    <t xml:space="preserve">created_at</t>
  </si>
  <si>
    <t xml:space="preserve">TIMESTAMPTZ</t>
  </si>
  <si>
    <t xml:space="preserve">now()</t>
  </si>
  <si>
    <t xml:space="preserve">Fecha de registro.</t>
  </si>
  <si>
    <t xml:space="preserve">2026-10-21 10:15:00-05</t>
  </si>
  <si>
    <t xml:space="preserve">deleted_at</t>
  </si>
  <si>
    <t xml:space="preserve">Fecha en que se eliminó la cuenta (queda anónima si tiene acuerdos).</t>
  </si>
  <si>
    <t xml:space="preserve">NULL</t>
  </si>
  <si>
    <t xml:space="preserve">token_version</t>
  </si>
  <si>
    <t xml:space="preserve">0</t>
  </si>
  <si>
    <t xml:space="preserve">Sube al cambiar la contraseña; invalida las sesiones abiertas.</t>
  </si>
  <si>
    <t xml:space="preserve">user_id</t>
  </si>
  <si>
    <t xml:space="preserve">PK, FK</t>
  </si>
  <si>
    <t xml:space="preserve">users.id</t>
  </si>
  <si>
    <t xml:space="preserve">ON DELETE CASCADE</t>
  </si>
  <si>
    <t xml:space="preserve">Caficultor dueño de la finca.</t>
  </si>
  <si>
    <t xml:space="preserve">''</t>
  </si>
  <si>
    <t xml:space="preserve">Máx. 120</t>
  </si>
  <si>
    <t xml:space="preserve">Nombre de la finca.</t>
  </si>
  <si>
    <t xml:space="preserve">La Esperanza</t>
  </si>
  <si>
    <t xml:space="preserve">region</t>
  </si>
  <si>
    <t xml:space="preserve">Máx. 80</t>
  </si>
  <si>
    <t xml:space="preserve">Departamento.</t>
  </si>
  <si>
    <t xml:space="preserve">Huila</t>
  </si>
  <si>
    <t xml:space="preserve">municipality</t>
  </si>
  <si>
    <t xml:space="preserve">Municipio.</t>
  </si>
  <si>
    <t xml:space="preserve">Pitalito</t>
  </si>
  <si>
    <t xml:space="preserve">altitude</t>
  </si>
  <si>
    <t xml:space="preserve">CHECK 0–6000</t>
  </si>
  <si>
    <t xml:space="preserve">Altitud en metros sobre el nivel del mar.</t>
  </si>
  <si>
    <t xml:space="preserve">1750</t>
  </si>
  <si>
    <t xml:space="preserve">hectares</t>
  </si>
  <si>
    <t xml:space="preserve">NUMERIC</t>
  </si>
  <si>
    <t xml:space="preserve">Tamaño en hectáreas.</t>
  </si>
  <si>
    <t xml:space="preserve">4.5</t>
  </si>
  <si>
    <t xml:space="preserve">varieties</t>
  </si>
  <si>
    <t xml:space="preserve">TEXT[]</t>
  </si>
  <si>
    <t xml:space="preserve">'{}'</t>
  </si>
  <si>
    <t xml:space="preserve">Máx. 20</t>
  </si>
  <si>
    <t xml:space="preserve">Variedades cultivadas.</t>
  </si>
  <si>
    <t xml:space="preserve">{Caturra,Pink Bourbon}</t>
  </si>
  <si>
    <t xml:space="preserve">processes</t>
  </si>
  <si>
    <t xml:space="preserve">lavado / honey / natural</t>
  </si>
  <si>
    <t xml:space="preserve">Procesos poscosecha.</t>
  </si>
  <si>
    <t xml:space="preserve">{lavado,honey}</t>
  </si>
  <si>
    <t xml:space="preserve">sca</t>
  </si>
  <si>
    <t xml:space="preserve">CHECK 0–100</t>
  </si>
  <si>
    <t xml:space="preserve">Puntaje SCA típico de la finca.</t>
  </si>
  <si>
    <t xml:space="preserve">86.5</t>
  </si>
  <si>
    <t xml:space="preserve">notes</t>
  </si>
  <si>
    <t xml:space="preserve">Notas de catación.</t>
  </si>
  <si>
    <t xml:space="preserve">{panela,chocolate}</t>
  </si>
  <si>
    <t xml:space="preserve">since</t>
  </si>
  <si>
    <t xml:space="preserve">Año desde el que cultiva.</t>
  </si>
  <si>
    <t xml:space="preserve">1998</t>
  </si>
  <si>
    <t xml:space="preserve">story_es</t>
  </si>
  <si>
    <t xml:space="preserve">Historia de la finca en español (traducida automáticamente).</t>
  </si>
  <si>
    <t xml:space="preserve">Somos tres generaciones…</t>
  </si>
  <si>
    <t xml:space="preserve">story_en</t>
  </si>
  <si>
    <t xml:space="preserve">Historia en inglés.</t>
  </si>
  <si>
    <t xml:space="preserve">We are three generations…</t>
  </si>
  <si>
    <t xml:space="preserve">quote_es</t>
  </si>
  <si>
    <t xml:space="preserve">Frase destacada en español.</t>
  </si>
  <si>
    <t xml:space="preserve">El café se cuida con amor</t>
  </si>
  <si>
    <t xml:space="preserve">quote_en</t>
  </si>
  <si>
    <t xml:space="preserve">Frase destacada en inglés.</t>
  </si>
  <si>
    <t xml:space="preserve">Coffee is grown with love</t>
  </si>
  <si>
    <t xml:space="preserve">certifications</t>
  </si>
  <si>
    <t xml:space="preserve">Una por línea; máx. 2000</t>
  </si>
  <si>
    <t xml:space="preserve">Certificaciones (solo lectura).</t>
  </si>
  <si>
    <t xml:space="preserve">Rainforest Alliance</t>
  </si>
  <si>
    <t xml:space="preserve">cover_id</t>
  </si>
  <si>
    <t xml:space="preserve">Foto de portada.</t>
  </si>
  <si>
    <t xml:space="preserve">8</t>
  </si>
  <si>
    <t xml:space="preserve">gallery</t>
  </si>
  <si>
    <t xml:space="preserve">INTEGER[]</t>
  </si>
  <si>
    <t xml:space="preserve">images.id (lógica)</t>
  </si>
  <si>
    <t xml:space="preserve">Máx. 12</t>
  </si>
  <si>
    <t xml:space="preserve">Ids de las fotos de la galería.</t>
  </si>
  <si>
    <t xml:space="preserve">{9,10,11}</t>
  </si>
  <si>
    <t xml:space="preserve">Comprador dueño del perfil.</t>
  </si>
  <si>
    <t xml:space="preserve">15</t>
  </si>
  <si>
    <t xml:space="preserve">company</t>
  </si>
  <si>
    <t xml:space="preserve">Empresa o tostadora.</t>
  </si>
  <si>
    <t xml:space="preserve">Nordlicht Roasters</t>
  </si>
  <si>
    <t xml:space="preserve">city</t>
  </si>
  <si>
    <t xml:space="preserve">Ciudad.</t>
  </si>
  <si>
    <t xml:space="preserve">Hamburgo</t>
  </si>
  <si>
    <t xml:space="preserve">country</t>
  </si>
  <si>
    <t xml:space="preserve">País.</t>
  </si>
  <si>
    <t xml:space="preserve">Alemania</t>
  </si>
  <si>
    <t xml:space="preserve">type</t>
  </si>
  <si>
    <t xml:space="preserve">Tipo de comprador.</t>
  </si>
  <si>
    <t xml:space="preserve">Tostador de especialidad</t>
  </si>
  <si>
    <t xml:space="preserve">volume</t>
  </si>
  <si>
    <t xml:space="preserve">Volumen que compra.</t>
  </si>
  <si>
    <t xml:space="preserve">200 sacos/año</t>
  </si>
  <si>
    <t xml:space="preserve">Año desde el que compra café.</t>
  </si>
  <si>
    <t xml:space="preserve">2015</t>
  </si>
  <si>
    <t xml:space="preserve">about_es</t>
  </si>
  <si>
    <t xml:space="preserve">Descripción en español.</t>
  </si>
  <si>
    <t xml:space="preserve">Tostamos en pequeños lotes…</t>
  </si>
  <si>
    <t xml:space="preserve">about_en</t>
  </si>
  <si>
    <t xml:space="preserve">Descripción en inglés.</t>
  </si>
  <si>
    <t xml:space="preserve">We roast in small batches…</t>
  </si>
  <si>
    <t xml:space="preserve">looking_es</t>
  </si>
  <si>
    <t xml:space="preserve">Qué busca, en español.</t>
  </si>
  <si>
    <t xml:space="preserve">Lavados de 86+ puntos</t>
  </si>
  <si>
    <t xml:space="preserve">looking_en</t>
  </si>
  <si>
    <t xml:space="preserve">Qué busca, en inglés.</t>
  </si>
  <si>
    <t xml:space="preserve">Washed coffees 86+</t>
  </si>
  <si>
    <t xml:space="preserve">20</t>
  </si>
  <si>
    <t xml:space="preserve">Usuario que pidió el código.</t>
  </si>
  <si>
    <t xml:space="preserve">code_hash</t>
  </si>
  <si>
    <t xml:space="preserve">Hash bcrypt</t>
  </si>
  <si>
    <t xml:space="preserve">Código de 6 dígitos cifrado.</t>
  </si>
  <si>
    <t xml:space="preserve">expires_at</t>
  </si>
  <si>
    <t xml:space="preserve">now() + 15 min</t>
  </si>
  <si>
    <t xml:space="preserve">Vencimiento del código.</t>
  </si>
  <si>
    <t xml:space="preserve">2026-10-27 20:15:00-05</t>
  </si>
  <si>
    <t xml:space="preserve">attempts</t>
  </si>
  <si>
    <t xml:space="preserve">Máx. 5</t>
  </si>
  <si>
    <t xml:space="preserve">Intentos fallidos.</t>
  </si>
  <si>
    <t xml:space="preserve">1</t>
  </si>
  <si>
    <t xml:space="preserve">Fecha de creación.</t>
  </si>
  <si>
    <t xml:space="preserve">2026-10-27 20:00:00-05</t>
  </si>
  <si>
    <t xml:space="preserve">URL firmada /images/{id}?s=FIRMA</t>
  </si>
  <si>
    <t xml:space="preserve">Identificador; la dirección pública lleva una firma HMAC para que no se pueda adivinar.</t>
  </si>
  <si>
    <t xml:space="preserve">owner_id</t>
  </si>
  <si>
    <t xml:space="preserve">users.id (lógica)</t>
  </si>
  <si>
    <t xml:space="preserve">Quién la subió (sin FK para conservar fotos de acuerdos).</t>
  </si>
  <si>
    <t xml:space="preserve">mime</t>
  </si>
  <si>
    <t xml:space="preserve">Tipo real detectado por los primeros bytes</t>
  </si>
  <si>
    <t xml:space="preserve">Tipo de archivo (jpeg, png, webp, gif, heic).</t>
  </si>
  <si>
    <t xml:space="preserve">image/jpeg</t>
  </si>
  <si>
    <t xml:space="preserve">data</t>
  </si>
  <si>
    <t xml:space="preserve">BYTEA</t>
  </si>
  <si>
    <t xml:space="preserve">Máx. 6 MB</t>
  </si>
  <si>
    <t xml:space="preserve">Contenido binario de la imagen.</t>
  </si>
  <si>
    <t xml:space="preserve">(binario)</t>
  </si>
  <si>
    <t xml:space="preserve">Fecha de subida.</t>
  </si>
  <si>
    <t xml:space="preserve">2026-10-21 10:20:00-05</t>
  </si>
  <si>
    <t xml:space="preserve">Identificador del lote.</t>
  </si>
  <si>
    <t xml:space="preserve">3</t>
  </si>
  <si>
    <t xml:space="preserve">farmer_id</t>
  </si>
  <si>
    <t xml:space="preserve">Caficultor que lo publica.</t>
  </si>
  <si>
    <t xml:space="preserve">Nombre del lote.</t>
  </si>
  <si>
    <t xml:space="preserve">Mandarina</t>
  </si>
  <si>
    <t xml:space="preserve">variety</t>
  </si>
  <si>
    <t xml:space="preserve">Máx. 60</t>
  </si>
  <si>
    <t xml:space="preserve">Variedad.</t>
  </si>
  <si>
    <t xml:space="preserve">Pink Bourbon</t>
  </si>
  <si>
    <t xml:space="preserve">process</t>
  </si>
  <si>
    <t xml:space="preserve">CHECK lavado / honey / natural</t>
  </si>
  <si>
    <t xml:space="preserve">Proceso.</t>
  </si>
  <si>
    <t xml:space="preserve">honey</t>
  </si>
  <si>
    <t xml:space="preserve">sacks</t>
  </si>
  <si>
    <t xml:space="preserve">CHECK (sacks &gt;= 0) · máx. 100.000 (API)</t>
  </si>
  <si>
    <t xml:space="preserve">Sacos de 70 kg disponibles; baja al registrar acuerdos.</t>
  </si>
  <si>
    <t xml:space="preserve">30</t>
  </si>
  <si>
    <t xml:space="preserve">80–100 (API) · CHECK 0–100</t>
  </si>
  <si>
    <t xml:space="preserve">Puntaje SCA.</t>
  </si>
  <si>
    <t xml:space="preserve">88</t>
  </si>
  <si>
    <t xml:space="preserve">price_lb</t>
  </si>
  <si>
    <t xml:space="preserve">CHECK &gt; 0 y ≤ 100</t>
  </si>
  <si>
    <t xml:space="preserve">Precio de referencia en US$ por libra.</t>
  </si>
  <si>
    <t xml:space="preserve">5.50</t>
  </si>
  <si>
    <t xml:space="preserve">price_carga</t>
  </si>
  <si>
    <t xml:space="preserve">Precio en COP por carga (si se publicó así).</t>
  </si>
  <si>
    <t xml:space="preserve">3200000</t>
  </si>
  <si>
    <t xml:space="preserve">Máx. 6</t>
  </si>
  <si>
    <t xml:space="preserve">{panela,mandarina}</t>
  </si>
  <si>
    <t xml:space="preserve">harvest</t>
  </si>
  <si>
    <t xml:space="preserve">Cosecha.</t>
  </si>
  <si>
    <t xml:space="preserve">Cosecha 2026</t>
  </si>
  <si>
    <t xml:space="preserve">Foto del lote.</t>
  </si>
  <si>
    <t xml:space="preserve">14</t>
  </si>
  <si>
    <t xml:space="preserve">active</t>
  </si>
  <si>
    <t xml:space="preserve">BOOLEAN</t>
  </si>
  <si>
    <t xml:space="preserve">true</t>
  </si>
  <si>
    <t xml:space="preserve">false cuando el caficultor lo retira.</t>
  </si>
  <si>
    <t xml:space="preserve">Fecha de publicación.</t>
  </si>
  <si>
    <t xml:space="preserve">2026-10-22 08:00:00-05</t>
  </si>
  <si>
    <t xml:space="preserve">lot_id</t>
  </si>
  <si>
    <t xml:space="preserve">lots.id</t>
  </si>
  <si>
    <t xml:space="preserve">Lote visto.</t>
  </si>
  <si>
    <t xml:space="preserve">buyer_id</t>
  </si>
  <si>
    <t xml:space="preserve">Comprador que lo vio.</t>
  </si>
  <si>
    <t xml:space="preserve">views</t>
  </si>
  <si>
    <t xml:space="preserve">CHECK ≥ 1</t>
  </si>
  <si>
    <t xml:space="preserve">Cuántas veces lo abrió.</t>
  </si>
  <si>
    <t xml:space="preserve">2</t>
  </si>
  <si>
    <t xml:space="preserve">first_at</t>
  </si>
  <si>
    <t xml:space="preserve">Primera vez que lo vio.</t>
  </si>
  <si>
    <t xml:space="preserve">2026-10-27 18:00:00-05</t>
  </si>
  <si>
    <t xml:space="preserve">last_at</t>
  </si>
  <si>
    <t xml:space="preserve">Última vez.</t>
  </si>
  <si>
    <t xml:space="preserve">2026-10-27 19:30:00-05</t>
  </si>
  <si>
    <t xml:space="preserve">notified_at</t>
  </si>
  <si>
    <t xml:space="preserve">Máx. 1 aviso cada 24 h</t>
  </si>
  <si>
    <t xml:space="preserve">Último aviso de interés enviado al caficultor.</t>
  </si>
  <si>
    <t xml:space="preserve">Identificador del chat.</t>
  </si>
  <si>
    <t xml:space="preserve">7</t>
  </si>
  <si>
    <t xml:space="preserve">FK, UK*</t>
  </si>
  <si>
    <t xml:space="preserve">ON DELETE CASCADE · UNIQUE(farmer_id, buyer_id)</t>
  </si>
  <si>
    <t xml:space="preserve">Caficultor del chat.</t>
  </si>
  <si>
    <t xml:space="preserve">Comprador del chat.</t>
  </si>
  <si>
    <t xml:space="preserve">Lote del que se está hablando.</t>
  </si>
  <si>
    <t xml:space="preserve">farmer_last_read</t>
  </si>
  <si>
    <t xml:space="preserve">messages.id (lógica)</t>
  </si>
  <si>
    <t xml:space="preserve">Último mensaje leído por el caficultor (para no leídos).</t>
  </si>
  <si>
    <t xml:space="preserve">120</t>
  </si>
  <si>
    <t xml:space="preserve">buyer_last_read</t>
  </si>
  <si>
    <t xml:space="preserve">Último mensaje leído por el comprador.</t>
  </si>
  <si>
    <t xml:space="preserve">118</t>
  </si>
  <si>
    <t xml:space="preserve">Fecha de inicio.</t>
  </si>
  <si>
    <t xml:space="preserve">2026-10-22 09:00:00-05</t>
  </si>
  <si>
    <t xml:space="preserve">updated_at</t>
  </si>
  <si>
    <t xml:space="preserve">Último mensaje (ordena la lista de chats).</t>
  </si>
  <si>
    <t xml:space="preserve">2026-10-27 19:45:00-05</t>
  </si>
  <si>
    <t xml:space="preserve">Índice (conversation_id, id)</t>
  </si>
  <si>
    <t xml:space="preserve">Identificador; la app pide mensajes con id &gt; último.</t>
  </si>
  <si>
    <t xml:space="preserve">121</t>
  </si>
  <si>
    <t xml:space="preserve">conversation_id</t>
  </si>
  <si>
    <t xml:space="preserve">conversations.id</t>
  </si>
  <si>
    <t xml:space="preserve">Chat al que pertenece.</t>
  </si>
  <si>
    <t xml:space="preserve">sender_id</t>
  </si>
  <si>
    <t xml:space="preserve">Quién lo envió (NULL = mensaje del sistema).</t>
  </si>
  <si>
    <t xml:space="preserve">CHECK text | photo | quote | agreement | system</t>
  </si>
  <si>
    <t xml:space="preserve">Tipo de mensaje.</t>
  </si>
  <si>
    <t xml:space="preserve">text</t>
  </si>
  <si>
    <t xml:space="preserve">Máx. 4000</t>
  </si>
  <si>
    <t xml:space="preserve">Texto original.</t>
  </si>
  <si>
    <t xml:space="preserve">Hello, is the lot available?</t>
  </si>
  <si>
    <t xml:space="preserve">CHECK es | en</t>
  </si>
  <si>
    <t xml:space="preserve">Idioma del texto original.</t>
  </si>
  <si>
    <t xml:space="preserve">en</t>
  </si>
  <si>
    <t xml:space="preserve">translation</t>
  </si>
  <si>
    <t xml:space="preserve">Traducción automática (DeepL → Google → MyMemory).</t>
  </si>
  <si>
    <t xml:space="preserve">Hola, ¿el lote está disponible?</t>
  </si>
  <si>
    <t xml:space="preserve">translated_to</t>
  </si>
  <si>
    <t xml:space="preserve">es | en</t>
  </si>
  <si>
    <t xml:space="preserve">Idioma de la traducción.</t>
  </si>
  <si>
    <t xml:space="preserve">via_voice</t>
  </si>
  <si>
    <t xml:space="preserve">false</t>
  </si>
  <si>
    <t xml:space="preserve">true si se dictó por voz.</t>
  </si>
  <si>
    <t xml:space="preserve">Foto (si type = photo).</t>
  </si>
  <si>
    <t xml:space="preserve">22</t>
  </si>
  <si>
    <t xml:space="preserve">quote</t>
  </si>
  <si>
    <t xml:space="preserve">JSONB</t>
  </si>
  <si>
    <t xml:space="preserve">Ver hoja Valores</t>
  </si>
  <si>
    <t xml:space="preserve">Cotización (si type = quote): precio, sacos, historial y estado.</t>
  </si>
  <si>
    <t xml:space="preserve">{"priceLb":5.9,"sacks":20,"status":"open"}</t>
  </si>
  <si>
    <t xml:space="preserve">agreement_id</t>
  </si>
  <si>
    <t xml:space="preserve">agreements.id</t>
  </si>
  <si>
    <t xml:space="preserve">Acuerdo (si type = agreement).</t>
  </si>
  <si>
    <t xml:space="preserve">4</t>
  </si>
  <si>
    <t xml:space="preserve">sys_es</t>
  </si>
  <si>
    <t xml:space="preserve">Texto del aviso del sistema en español.</t>
  </si>
  <si>
    <t xml:space="preserve">El comprador aceptó US$ 5.90/lb</t>
  </si>
  <si>
    <t xml:space="preserve">sys_en</t>
  </si>
  <si>
    <t xml:space="preserve">Texto del aviso del sistema en inglés.</t>
  </si>
  <si>
    <t xml:space="preserve">The buyer accepted US$ 5.90/lb</t>
  </si>
  <si>
    <t xml:space="preserve">Fecha de envío.</t>
  </si>
  <si>
    <t xml:space="preserve">Identificador del acuerdo.</t>
  </si>
  <si>
    <t xml:space="preserve">code</t>
  </si>
  <si>
    <t xml:space="preserve">Formato CD-AAAA-####</t>
  </si>
  <si>
    <t xml:space="preserve">Código visible del acuerdo.</t>
  </si>
  <si>
    <t xml:space="preserve">CD-2026-0004</t>
  </si>
  <si>
    <t xml:space="preserve">Chat donde se cerró.</t>
  </si>
  <si>
    <t xml:space="preserve">Sin borrado en cascada</t>
  </si>
  <si>
    <t xml:space="preserve">Caficultor (vendedor).</t>
  </si>
  <si>
    <t xml:space="preserve">Comprador.</t>
  </si>
  <si>
    <t xml:space="preserve">Lote vendido.</t>
  </si>
  <si>
    <t xml:space="preserve">lot_name</t>
  </si>
  <si>
    <t xml:space="preserve">Copia del nombre del lote al cerrar (no cambia si editan el lote).</t>
  </si>
  <si>
    <t xml:space="preserve">Copia de la variedad.</t>
  </si>
  <si>
    <t xml:space="preserve">Copia del proceso.</t>
  </si>
  <si>
    <t xml:space="preserve">Copia del puntaje SCA.</t>
  </si>
  <si>
    <t xml:space="preserve">CHECK &gt; 0</t>
  </si>
  <si>
    <t xml:space="preserve">Precio acordado en US$/lb.</t>
  </si>
  <si>
    <t xml:space="preserve">5.90</t>
  </si>
  <si>
    <t xml:space="preserve">Sacos de 70 kg acordados.</t>
  </si>
  <si>
    <t xml:space="preserve">incoterm</t>
  </si>
  <si>
    <t xml:space="preserve">Condición de entrega.</t>
  </si>
  <si>
    <t xml:space="preserve">FOB Buenaventura</t>
  </si>
  <si>
    <t xml:space="preserve">status</t>
  </si>
  <si>
    <t xml:space="preserve">CHECK 1–3 · 2 lo marca el caficultor, 3 el comprador</t>
  </si>
  <si>
    <t xml:space="preserve">Estado del pedido: 1 confirmado, 2 enviado, 3 entregado.</t>
  </si>
  <si>
    <t xml:space="preserve">history</t>
  </si>
  <si>
    <t xml:space="preserve">'[]'</t>
  </si>
  <si>
    <t xml:space="preserve">Arreglo de marcas de tiempo (ms)</t>
  </si>
  <si>
    <t xml:space="preserve">Fecha de cada estado: [cotizado, confirmado, enviado, entregado].</t>
  </si>
  <si>
    <t xml:space="preserve">[1761600000000,1761603600000]</t>
  </si>
  <si>
    <t xml:space="preserve">Acuerdo calificado.</t>
  </si>
  <si>
    <t xml:space="preserve">by_user_id</t>
  </si>
  <si>
    <t xml:space="preserve">Quién califica.</t>
  </si>
  <si>
    <t xml:space="preserve">stars</t>
  </si>
  <si>
    <t xml:space="preserve">CHECK (stars BETWEEN 1 AND 5)</t>
  </si>
  <si>
    <t xml:space="preserve">Estrellas.</t>
  </si>
  <si>
    <t xml:space="preserve">tags</t>
  </si>
  <si>
    <t xml:space="preserve">quality, communication, packaging, punctual…</t>
  </si>
  <si>
    <t xml:space="preserve">Etiquetas elegidas.</t>
  </si>
  <si>
    <t xml:space="preserve">{quality,punctual}</t>
  </si>
  <si>
    <t xml:space="preserve">comment_es</t>
  </si>
  <si>
    <t xml:space="preserve">Comentario en español.</t>
  </si>
  <si>
    <t xml:space="preserve">Excelente café</t>
  </si>
  <si>
    <t xml:space="preserve">comment_en</t>
  </si>
  <si>
    <t xml:space="preserve">Comentario en inglés.</t>
  </si>
  <si>
    <t xml:space="preserve">Excellent coffee</t>
  </si>
  <si>
    <t xml:space="preserve">Fecha.</t>
  </si>
  <si>
    <t xml:space="preserve">2026-11-10 10:00:00-05</t>
  </si>
  <si>
    <t xml:space="preserve">Acuerdo evaluado (uno por acuerdo).</t>
  </si>
  <si>
    <t xml:space="preserve">Comprador que lo emite.</t>
  </si>
  <si>
    <t xml:space="preserve">CHECK (0–100)</t>
  </si>
  <si>
    <t xml:space="preserve">Puntaje SCA medido al recibir.</t>
  </si>
  <si>
    <t xml:space="preserve">87.25</t>
  </si>
  <si>
    <t xml:space="preserve">moisture</t>
  </si>
  <si>
    <t xml:space="preserve">Humedad en %.</t>
  </si>
  <si>
    <t xml:space="preserve">11</t>
  </si>
  <si>
    <t xml:space="preserve">defects</t>
  </si>
  <si>
    <t xml:space="preserve">CHECK (&gt;= 0)</t>
  </si>
  <si>
    <t xml:space="preserve">Defectos encontrados.</t>
  </si>
  <si>
    <t xml:space="preserve">matches_sample</t>
  </si>
  <si>
    <t xml:space="preserve">¿Coincide con la muestra?</t>
  </si>
  <si>
    <t xml:space="preserve">Máx. 8</t>
  </si>
  <si>
    <t xml:space="preserve">Notas de catación encontradas.</t>
  </si>
  <si>
    <t xml:space="preserve">{panela}</t>
  </si>
  <si>
    <t xml:space="preserve">Llegó en buen estado</t>
  </si>
  <si>
    <t xml:space="preserve">Arrived in good condition</t>
  </si>
  <si>
    <t xml:space="preserve">Foto de evidencia.</t>
  </si>
  <si>
    <t xml:space="preserve">2026-11-10 09:00:00-05</t>
  </si>
  <si>
    <t xml:space="preserve">Identificador de la disputa.</t>
  </si>
  <si>
    <t xml:space="preserve">ON DELETE CASCADE · máx. 1 abierta por acuerdo</t>
  </si>
  <si>
    <t xml:space="preserve">Acuerdo en disputa.</t>
  </si>
  <si>
    <t xml:space="preserve">opened_by</t>
  </si>
  <si>
    <t xml:space="preserve">Quién la abrió (y quien puede resolverla).</t>
  </si>
  <si>
    <t xml:space="preserve">reason</t>
  </si>
  <si>
    <t xml:space="preserve">quality | quantity | delay | payment | other</t>
  </si>
  <si>
    <t xml:space="preserve">Motivo.</t>
  </si>
  <si>
    <t xml:space="preserve">payment</t>
  </si>
  <si>
    <t xml:space="preserve">'open'</t>
  </si>
  <si>
    <t xml:space="preserve">open | resolved</t>
  </si>
  <si>
    <t xml:space="preserve">Estado.</t>
  </si>
  <si>
    <t xml:space="preserve">open</t>
  </si>
  <si>
    <t xml:space="preserve">events</t>
  </si>
  <si>
    <t xml:space="preserve">Historial: apertura, comentarios y resolución (bilingüe).</t>
  </si>
  <si>
    <t xml:space="preserve">[{"kind":"open",…}]</t>
  </si>
  <si>
    <t xml:space="preserve">Fecha de apertura.</t>
  </si>
  <si>
    <t xml:space="preserve">2026-11-05 10:00:00-05</t>
  </si>
  <si>
    <t xml:space="preserve">resolved_at</t>
  </si>
  <si>
    <t xml:space="preserve">Fecha de resolución.</t>
  </si>
  <si>
    <t xml:space="preserve">Identificador de la subasta.</t>
  </si>
  <si>
    <t xml:space="preserve">9</t>
  </si>
  <si>
    <t xml:space="preserve">ON DELETE CASCADE · máx. 1 abierta por lote</t>
  </si>
  <si>
    <t xml:space="preserve">Lote subastado.</t>
  </si>
  <si>
    <t xml:space="preserve">Caficultor que subasta.</t>
  </si>
  <si>
    <t xml:space="preserve">base_price_lb</t>
  </si>
  <si>
    <t xml:space="preserve">CHECK (&gt; 0) · máx. 100</t>
  </si>
  <si>
    <t xml:space="preserve">Precio base en US$/lb.</t>
  </si>
  <si>
    <t xml:space="preserve">min_increment_lb</t>
  </si>
  <si>
    <t xml:space="preserve">0.05</t>
  </si>
  <si>
    <t xml:space="preserve">CHECK (&gt; 0) · 0,01–5</t>
  </si>
  <si>
    <t xml:space="preserve">Cuánto debe superar cada oferta a la anterior.</t>
  </si>
  <si>
    <t xml:space="preserve">0.10</t>
  </si>
  <si>
    <t xml:space="preserve">CHECK (&gt; 0) · ≤ sacos del lote</t>
  </si>
  <si>
    <t xml:space="preserve">Sacos de 70 kg en subasta.</t>
  </si>
  <si>
    <t xml:space="preserve">'FOB Buenaventura'</t>
  </si>
  <si>
    <t xml:space="preserve">ends_at</t>
  </si>
  <si>
    <t xml:space="preserve">1 h a 30 días; se alarga 2 min si pujan al final</t>
  </si>
  <si>
    <t xml:space="preserve">Fecha y hora de cierre.</t>
  </si>
  <si>
    <t xml:space="preserve">2026-10-29 20:00:00-05</t>
  </si>
  <si>
    <t xml:space="preserve">open | awarded | cancelled | expired</t>
  </si>
  <si>
    <t xml:space="preserve">Estado guardado (la app muestra live/ended según ends_at).</t>
  </si>
  <si>
    <t xml:space="preserve">winning_bid_id</t>
  </si>
  <si>
    <t xml:space="preserve">bids.id (lógica)</t>
  </si>
  <si>
    <t xml:space="preserve">Oferta ganadora.</t>
  </si>
  <si>
    <t xml:space="preserve">Acuerdo creado al adjudicar.</t>
  </si>
  <si>
    <t xml:space="preserve">ended_notified</t>
  </si>
  <si>
    <t xml:space="preserve">Ya se avisó que terminó el tiempo.</t>
  </si>
  <si>
    <t xml:space="preserve">Apertura.</t>
  </si>
  <si>
    <t xml:space="preserve">closed_at</t>
  </si>
  <si>
    <t xml:space="preserve">Cierre definitivo (adjudicada, cancelada o vencida).</t>
  </si>
  <si>
    <t xml:space="preserve">Identificador de la oferta.</t>
  </si>
  <si>
    <t xml:space="preserve">31</t>
  </si>
  <si>
    <t xml:space="preserve">auction_id</t>
  </si>
  <si>
    <t xml:space="preserve">auctions.id</t>
  </si>
  <si>
    <t xml:space="preserve">ON DELETE CASCADE · índice (auction_id, price_lb DESC)</t>
  </si>
  <si>
    <t xml:space="preserve">Subasta.</t>
  </si>
  <si>
    <t xml:space="preserve">Comprador que oferta.</t>
  </si>
  <si>
    <t xml:space="preserve">CHECK (&gt; 0) · ≥ mayor + incremento</t>
  </si>
  <si>
    <t xml:space="preserve">Oferta en US$/lb.</t>
  </si>
  <si>
    <t xml:space="preserve">5.80</t>
  </si>
  <si>
    <t xml:space="preserve">'active'</t>
  </si>
  <si>
    <t xml:space="preserve">active | won | lost</t>
  </si>
  <si>
    <t xml:space="preserve">Resultado de la oferta.</t>
  </si>
  <si>
    <t xml:space="preserve">Fecha de la oferta.</t>
  </si>
  <si>
    <t xml:space="preserve">2026-10-27 21:00:00-05</t>
  </si>
  <si>
    <t xml:space="preserve">Índice (user_id, id DESC)</t>
  </si>
  <si>
    <t xml:space="preserve">Identificador; la app pide las nuevas con id &gt; último.</t>
  </si>
  <si>
    <t xml:space="preserve">57</t>
  </si>
  <si>
    <t xml:space="preserve">Destinatario.</t>
  </si>
  <si>
    <t xml:space="preserve">CHECK 1–40 caracteres · ver hoja Valores</t>
  </si>
  <si>
    <t xml:space="preserve">Tipo de aviso.</t>
  </si>
  <si>
    <t xml:space="preserve">lot_interest</t>
  </si>
  <si>
    <t xml:space="preserve">title_es</t>
  </si>
  <si>
    <t xml:space="preserve">Título en español.</t>
  </si>
  <si>
    <t xml:space="preserve">👀 Lena está interesado en tu café</t>
  </si>
  <si>
    <t xml:space="preserve">body_es</t>
  </si>
  <si>
    <t xml:space="preserve">Detalle en español.</t>
  </si>
  <si>
    <t xml:space="preserve">Nordlicht · vio tu lote «Mandarina»</t>
  </si>
  <si>
    <t xml:space="preserve">title_en</t>
  </si>
  <si>
    <t xml:space="preserve">Título en inglés.</t>
  </si>
  <si>
    <t xml:space="preserve">👀 Lena is interested in your coffee</t>
  </si>
  <si>
    <t xml:space="preserve">body_en</t>
  </si>
  <si>
    <t xml:space="preserve">Detalle en inglés.</t>
  </si>
  <si>
    <t xml:space="preserve">Nordlicht · viewed your lot “Mandarina”</t>
  </si>
  <si>
    <t xml:space="preserve">lotId, userId, auctionId, conversationId, agreementId</t>
  </si>
  <si>
    <t xml:space="preserve">A qué pantalla lleva al tocarlo.</t>
  </si>
  <si>
    <t xml:space="preserve">{"lotId":3,"userId":15}</t>
  </si>
  <si>
    <t xml:space="preserve">read_at</t>
  </si>
  <si>
    <t xml:space="preserve">Cuándo se leyó (NULL = sin leer).</t>
  </si>
  <si>
    <t xml:space="preserve">day</t>
  </si>
  <si>
    <t xml:space="preserve">DATE</t>
  </si>
  <si>
    <t xml:space="preserve">Uno por día</t>
  </si>
  <si>
    <t xml:space="preserve">Fecha del registro.</t>
  </si>
  <si>
    <t xml:space="preserve">2026-10-27</t>
  </si>
  <si>
    <t xml:space="preserve">fnc_cop_carga</t>
  </si>
  <si>
    <t xml:space="preserve">Precio interno FNC en COP por carga de 125 kg.</t>
  </si>
  <si>
    <t xml:space="preserve">2065000</t>
  </si>
  <si>
    <t xml:space="preserve">ny_usd_cents</t>
  </si>
  <si>
    <t xml:space="preserve">Bolsa de Nueva York, contrato C, en centavos de US$/lb.</t>
  </si>
  <si>
    <t xml:space="preserve">293.75</t>
  </si>
  <si>
    <t xml:space="preserve">trm</t>
  </si>
  <si>
    <t xml:space="preserve">TRM oficial (COP por US$).</t>
  </si>
  <si>
    <t xml:space="preserve">3147.40</t>
  </si>
  <si>
    <t xml:space="preserve">Última actualización del registro.</t>
  </si>
  <si>
    <t xml:space="preserve">2026-10-27 20:30:00-05</t>
  </si>
  <si>
    <t xml:space="preserve">Tabla padre</t>
  </si>
  <si>
    <t xml:space="preserve">Tabla hija</t>
  </si>
  <si>
    <t xml:space="preserve">Cardinalidad</t>
  </si>
  <si>
    <t xml:space="preserve">Llave foránea</t>
  </si>
  <si>
    <t xml:space="preserve">Al borrar el padre</t>
  </si>
  <si>
    <t xml:space="preserve">Significado</t>
  </si>
  <si>
    <t xml:space="preserve">1 : 0..1</t>
  </si>
  <si>
    <t xml:space="preserve">farms.user_id → users.id</t>
  </si>
  <si>
    <t xml:space="preserve">CASCADE</t>
  </si>
  <si>
    <t xml:space="preserve">Cada caficultor tiene un perfil de finca.</t>
  </si>
  <si>
    <t xml:space="preserve">buyers.user_id → users.id</t>
  </si>
  <si>
    <t xml:space="preserve">Cada comprador tiene un perfil de empresa.</t>
  </si>
  <si>
    <t xml:space="preserve">password_resets.user_id → users.id</t>
  </si>
  <si>
    <t xml:space="preserve">Un código vigente por usuario.</t>
  </si>
  <si>
    <t xml:space="preserve">1 : N</t>
  </si>
  <si>
    <t xml:space="preserve">users.photo_id → images.id</t>
  </si>
  <si>
    <t xml:space="preserve">SET NULL</t>
  </si>
  <si>
    <t xml:space="preserve">farms / buyers</t>
  </si>
  <si>
    <t xml:space="preserve">cover_id → images.id</t>
  </si>
  <si>
    <t xml:space="preserve">Portadas.</t>
  </si>
  <si>
    <t xml:space="preserve">lots.farmer_id → users.id</t>
  </si>
  <si>
    <t xml:space="preserve">Un caficultor publica muchos lotes.</t>
  </si>
  <si>
    <t xml:space="preserve">lot_views.lot_id → lots.id</t>
  </si>
  <si>
    <t xml:space="preserve">Vistas de compradores.</t>
  </si>
  <si>
    <t xml:space="preserve">lot_views.buyer_id → users.id</t>
  </si>
  <si>
    <t xml:space="preserve">Lotes que vio un comprador.</t>
  </si>
  <si>
    <t xml:space="preserve">1 : N (×2)</t>
  </si>
  <si>
    <t xml:space="preserve">farmer_id / buyer_id → users.id</t>
  </si>
  <si>
    <t xml:space="preserve">Un chat por pareja caficultor–comprador.</t>
  </si>
  <si>
    <t xml:space="preserve">conversations.lot_id → lots.id</t>
  </si>
  <si>
    <t xml:space="preserve">Lote del que se habla.</t>
  </si>
  <si>
    <t xml:space="preserve">messages.conversation_id → conversations.id</t>
  </si>
  <si>
    <t xml:space="preserve">Mensajes del chat.</t>
  </si>
  <si>
    <t xml:space="preserve">messages.sender_id → users.id</t>
  </si>
  <si>
    <t xml:space="preserve">Autor del mensaje.</t>
  </si>
  <si>
    <t xml:space="preserve">messages.agreement_id → agreements.id</t>
  </si>
  <si>
    <t xml:space="preserve">Tarjeta del acuerdo en el chat.</t>
  </si>
  <si>
    <t xml:space="preserve">agreements.conversation_id → conversations.id</t>
  </si>
  <si>
    <t xml:space="preserve">NO ACTION</t>
  </si>
  <si>
    <t xml:space="preserve">Partes del acuerdo (se conservan).</t>
  </si>
  <si>
    <t xml:space="preserve">agreements.lot_id → lots.id</t>
  </si>
  <si>
    <t xml:space="preserve">1 : 0..2</t>
  </si>
  <si>
    <t xml:space="preserve">ratings.agreement_id → agreements.id</t>
  </si>
  <si>
    <t xml:space="preserve">Una calificación por cada parte.</t>
  </si>
  <si>
    <t xml:space="preserve">quality_reports.agreement_id → agreements.id</t>
  </si>
  <si>
    <t xml:space="preserve">Un reporte por acuerdo.</t>
  </si>
  <si>
    <t xml:space="preserve">disputes.agreement_id → agreements.id</t>
  </si>
  <si>
    <t xml:space="preserve">Máx. una abierta a la vez.</t>
  </si>
  <si>
    <t xml:space="preserve">auctions.lot_id → lots.id</t>
  </si>
  <si>
    <t xml:space="preserve">Máx. una subasta abierta por lote.</t>
  </si>
  <si>
    <t xml:space="preserve">auctions.farmer_id → users.id</t>
  </si>
  <si>
    <t xml:space="preserve">Subastas del caficultor.</t>
  </si>
  <si>
    <t xml:space="preserve">auctions.agreement_id → agreements.id</t>
  </si>
  <si>
    <t xml:space="preserve">bids.auction_id → auctions.id</t>
  </si>
  <si>
    <t xml:space="preserve">Ofertas de la subasta.</t>
  </si>
  <si>
    <t xml:space="preserve">bids.buyer_id → users.id</t>
  </si>
  <si>
    <t xml:space="preserve">Ofertas del comprador.</t>
  </si>
  <si>
    <t xml:space="preserve">notifications.user_id → users.id</t>
  </si>
  <si>
    <t xml:space="preserve">Avisos del usuario.</t>
  </si>
  <si>
    <t xml:space="preserve">Índice</t>
  </si>
  <si>
    <t xml:space="preserve">Columnas</t>
  </si>
  <si>
    <t xml:space="preserve">Tipo</t>
  </si>
  <si>
    <t xml:space="preserve">Para qué</t>
  </si>
  <si>
    <t xml:space="preserve">users_email_key</t>
  </si>
  <si>
    <t xml:space="preserve">UNIQUE</t>
  </si>
  <si>
    <t xml:space="preserve">Inicio de sesión por correo.</t>
  </si>
  <si>
    <t xml:space="preserve">conversations_farmer_id_buyer_id_key</t>
  </si>
  <si>
    <t xml:space="preserve">farmer_id, buyer_id</t>
  </si>
  <si>
    <t xml:space="preserve">Un chat por pareja.</t>
  </si>
  <si>
    <t xml:space="preserve">conversations_buyer_idx</t>
  </si>
  <si>
    <t xml:space="preserve">buyer_id, updated_at DESC</t>
  </si>
  <si>
    <t xml:space="preserve">Lista de chats del comprador.</t>
  </si>
  <si>
    <t xml:space="preserve">conversations_farmer_idx</t>
  </si>
  <si>
    <t xml:space="preserve">farmer_id, updated_at DESC</t>
  </si>
  <si>
    <t xml:space="preserve">Lista de chats del caficultor.</t>
  </si>
  <si>
    <t xml:space="preserve">messages_conv_idx</t>
  </si>
  <si>
    <t xml:space="preserve">conversation_id, id</t>
  </si>
  <si>
    <t xml:space="preserve">Mensajes nuevos de un chat (id &gt; último).</t>
  </si>
  <si>
    <t xml:space="preserve">lots_farmer_idx</t>
  </si>
  <si>
    <t xml:space="preserve">farmer_id (activos)</t>
  </si>
  <si>
    <t xml:space="preserve">Parcial</t>
  </si>
  <si>
    <t xml:space="preserve">Lotes de un caficultor.</t>
  </si>
  <si>
    <t xml:space="preserve">lots_active_created_idx</t>
  </si>
  <si>
    <t xml:space="preserve">created_at DESC (activos con sacos)</t>
  </si>
  <si>
    <t xml:space="preserve">Catálogo de Explorar.</t>
  </si>
  <si>
    <t xml:space="preserve">agreements_code_key</t>
  </si>
  <si>
    <t xml:space="preserve">Código CD-AAAA-####.</t>
  </si>
  <si>
    <t xml:space="preserve">agreements_farmer_idx</t>
  </si>
  <si>
    <t xml:space="preserve">farmer_id, created_at DESC</t>
  </si>
  <si>
    <t xml:space="preserve">Acuerdos del caficultor.</t>
  </si>
  <si>
    <t xml:space="preserve">agreements_buyer_idx</t>
  </si>
  <si>
    <t xml:space="preserve">buyer_id, created_at DESC</t>
  </si>
  <si>
    <t xml:space="preserve">Acuerdos del comprador.</t>
  </si>
  <si>
    <t xml:space="preserve">ratings_by_user_idx</t>
  </si>
  <si>
    <t xml:space="preserve">Reputación.</t>
  </si>
  <si>
    <t xml:space="preserve">disputes_open_idx</t>
  </si>
  <si>
    <t xml:space="preserve">agreement_id (abiertas)</t>
  </si>
  <si>
    <t xml:space="preserve">UNIQUE parcial</t>
  </si>
  <si>
    <t xml:space="preserve">Máx. una disputa abierta por acuerdo.</t>
  </si>
  <si>
    <t xml:space="preserve">auctions_open_lot_idx</t>
  </si>
  <si>
    <t xml:space="preserve">lot_id (abiertas)</t>
  </si>
  <si>
    <t xml:space="preserve">auctions_farmer_idx</t>
  </si>
  <si>
    <t xml:space="preserve">farmer_id, id DESC</t>
  </si>
  <si>
    <t xml:space="preserve">Mis subastas.</t>
  </si>
  <si>
    <t xml:space="preserve">auctions_open_ends_idx</t>
  </si>
  <si>
    <t xml:space="preserve">ends_at (abiertas)</t>
  </si>
  <si>
    <t xml:space="preserve">Proceso que cierra subastas cada minuto.</t>
  </si>
  <si>
    <t xml:space="preserve">bids_auction_idx</t>
  </si>
  <si>
    <t xml:space="preserve">auction_id, price_lb DESC</t>
  </si>
  <si>
    <t xml:space="preserve">Oferta más alta.</t>
  </si>
  <si>
    <t xml:space="preserve">bids_buyer_idx</t>
  </si>
  <si>
    <t xml:space="preserve">Subastas en las que pujé.</t>
  </si>
  <si>
    <t xml:space="preserve">notifications_user_idx</t>
  </si>
  <si>
    <t xml:space="preserve">user_id, id DESC</t>
  </si>
  <si>
    <t xml:space="preserve">Lista de avisos.</t>
  </si>
  <si>
    <t xml:space="preserve">notifications_unread_idx</t>
  </si>
  <si>
    <t xml:space="preserve">user_id (sin leer)</t>
  </si>
  <si>
    <t xml:space="preserve">Contador de la campanita.</t>
  </si>
  <si>
    <t xml:space="preserve">lot_views_buyer_idx</t>
  </si>
  <si>
    <t xml:space="preserve">Borrado de cuenta y consultas por comprador.</t>
  </si>
  <si>
    <t xml:space="preserve">images_owner_idx</t>
  </si>
  <si>
    <t xml:space="preserve">Verificar que la foto sea de quien la usa.</t>
  </si>
  <si>
    <t xml:space="preserve">Valor</t>
  </si>
  <si>
    <t xml:space="preserve">users.role</t>
  </si>
  <si>
    <t xml:space="preserve">Caficultor</t>
  </si>
  <si>
    <t xml:space="preserve">buyer</t>
  </si>
  <si>
    <t xml:space="preserve">Comprador</t>
  </si>
  <si>
    <t xml:space="preserve">users.lang</t>
  </si>
  <si>
    <t xml:space="preserve">Español</t>
  </si>
  <si>
    <t xml:space="preserve">Inglés</t>
  </si>
  <si>
    <t xml:space="preserve">lots.process</t>
  </si>
  <si>
    <t xml:space="preserve">lavado</t>
  </si>
  <si>
    <t xml:space="preserve">Lavado</t>
  </si>
  <si>
    <t xml:space="preserve">Honey</t>
  </si>
  <si>
    <t xml:space="preserve">natural</t>
  </si>
  <si>
    <t xml:space="preserve">Natural</t>
  </si>
  <si>
    <t xml:space="preserve">messages.type</t>
  </si>
  <si>
    <t xml:space="preserve">Texto (con traducción)</t>
  </si>
  <si>
    <t xml:space="preserve">photo</t>
  </si>
  <si>
    <t xml:space="preserve">Foto</t>
  </si>
  <si>
    <t xml:space="preserve">Cotización</t>
  </si>
  <si>
    <t xml:space="preserve">agreement</t>
  </si>
  <si>
    <t xml:space="preserve">Tarjeta de acuerdo registrado</t>
  </si>
  <si>
    <t xml:space="preserve">system</t>
  </si>
  <si>
    <t xml:space="preserve">Aviso del sistema (bilingüe)</t>
  </si>
  <si>
    <t xml:space="preserve">messages.quote.status</t>
  </si>
  <si>
    <t xml:space="preserve">Cotización abierta, espera respuesta</t>
  </si>
  <si>
    <t xml:space="preserve">accepted</t>
  </si>
  <si>
    <t xml:space="preserve">Una parte aceptó; falta confirmar</t>
  </si>
  <si>
    <t xml:space="preserve">agreed</t>
  </si>
  <si>
    <t xml:space="preserve">Confirmada: se creó el acuerdo</t>
  </si>
  <si>
    <t xml:space="preserve">superseded</t>
  </si>
  <si>
    <t xml:space="preserve">Reemplazada por otra</t>
  </si>
  <si>
    <t xml:space="preserve">agreements.status</t>
  </si>
  <si>
    <t xml:space="preserve">Confirmado</t>
  </si>
  <si>
    <t xml:space="preserve">Enviado</t>
  </si>
  <si>
    <t xml:space="preserve">Entregado (ya se puede calificar)</t>
  </si>
  <si>
    <t xml:space="preserve">disputes.reason</t>
  </si>
  <si>
    <t xml:space="preserve">quality</t>
  </si>
  <si>
    <t xml:space="preserve">Calidad</t>
  </si>
  <si>
    <t xml:space="preserve">quantity</t>
  </si>
  <si>
    <t xml:space="preserve">Cantidad</t>
  </si>
  <si>
    <t xml:space="preserve">delay</t>
  </si>
  <si>
    <t xml:space="preserve">Retraso</t>
  </si>
  <si>
    <t xml:space="preserve">Pago</t>
  </si>
  <si>
    <t xml:space="preserve">other</t>
  </si>
  <si>
    <t xml:space="preserve">Otro motivo</t>
  </si>
  <si>
    <t xml:space="preserve">disputes.status</t>
  </si>
  <si>
    <t xml:space="preserve">Abierta</t>
  </si>
  <si>
    <t xml:space="preserve">resolved</t>
  </si>
  <si>
    <t xml:space="preserve">Resuelta</t>
  </si>
  <si>
    <t xml:space="preserve">disputes.events[].kind</t>
  </si>
  <si>
    <t xml:space="preserve">open | comment | resolve</t>
  </si>
  <si>
    <t xml:space="preserve">Apertura, comentario o resolución</t>
  </si>
  <si>
    <t xml:space="preserve">auctions.status</t>
  </si>
  <si>
    <t xml:space="preserve">Abierta (live si no ha cerrado, ended si ya pasó ends_at)</t>
  </si>
  <si>
    <t xml:space="preserve">awarded</t>
  </si>
  <si>
    <t xml:space="preserve">Adjudicada</t>
  </si>
  <si>
    <t xml:space="preserve">cancelled</t>
  </si>
  <si>
    <t xml:space="preserve">Cancelada por el caficultor</t>
  </si>
  <si>
    <t xml:space="preserve">expired</t>
  </si>
  <si>
    <t xml:space="preserve">Vencida: nadie adjudicó en 7 días</t>
  </si>
  <si>
    <t xml:space="preserve">bids.status</t>
  </si>
  <si>
    <t xml:space="preserve">Vigente</t>
  </si>
  <si>
    <t xml:space="preserve">won</t>
  </si>
  <si>
    <t xml:space="preserve">Ganadora</t>
  </si>
  <si>
    <t xml:space="preserve">lost</t>
  </si>
  <si>
    <t xml:space="preserve">No ganó</t>
  </si>
  <si>
    <t xml:space="preserve">notifications.type</t>
  </si>
  <si>
    <t xml:space="preserve">Un comprador vio tu lote</t>
  </si>
  <si>
    <t xml:space="preserve">auction_opened</t>
  </si>
  <si>
    <t xml:space="preserve">Abrió una subasta de un lote que viste</t>
  </si>
  <si>
    <t xml:space="preserve">bid_new</t>
  </si>
  <si>
    <t xml:space="preserve">Nueva oferta en tu subasta</t>
  </si>
  <si>
    <t xml:space="preserve">bid_outbid</t>
  </si>
  <si>
    <t xml:space="preserve">Te superaron</t>
  </si>
  <si>
    <t xml:space="preserve">auction_ended</t>
  </si>
  <si>
    <t xml:space="preserve">Terminó el tiempo de la subasta</t>
  </si>
  <si>
    <t xml:space="preserve">auction_won</t>
  </si>
  <si>
    <t xml:space="preserve">Ganaste la subasta</t>
  </si>
  <si>
    <t xml:space="preserve">auction_lost</t>
  </si>
  <si>
    <t xml:space="preserve">Se adjudicó a otro comprador</t>
  </si>
  <si>
    <t xml:space="preserve">auction_cancelled</t>
  </si>
  <si>
    <t xml:space="preserve">Subasta cancelada</t>
  </si>
  <si>
    <t xml:space="preserve">auction_expired</t>
  </si>
  <si>
    <t xml:space="preserve">Subasta vencida</t>
  </si>
  <si>
    <t xml:space="preserve">quote_new</t>
  </si>
  <si>
    <t xml:space="preserve">Nueva cotización en el chat</t>
  </si>
  <si>
    <t xml:space="preserve">quote_counter</t>
  </si>
  <si>
    <t xml:space="preserve">Contraoferta</t>
  </si>
  <si>
    <t xml:space="preserve">quote_accepted</t>
  </si>
  <si>
    <t xml:space="preserve">Aceptaron tu cotización</t>
  </si>
  <si>
    <t xml:space="preserve">agreement_new</t>
  </si>
  <si>
    <t xml:space="preserve">Acuerdo registrado</t>
  </si>
  <si>
    <t xml:space="preserve">agreement_status</t>
  </si>
  <si>
    <t xml:space="preserve">Cambio de estado del pedido</t>
  </si>
  <si>
    <t xml:space="preserve">rating_new</t>
  </si>
  <si>
    <t xml:space="preserve">Te calificaron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</si>
</sst>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342E"/>
      <name val="Arial"/>
      <family val="0"/>
      <charset val="1"/>
    </font>
    <font>
      <i val="true"/>
      <sz val="10"/>
      <color rgb="FF6D4C4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E342E"/>
        <bgColor rgb="FF333300"/>
      </patternFill>
    </fill>
    <fill>
      <patternFill patternType="solid">
        <fgColor rgb="FFFFF3E0"/>
        <bgColor rgb="FFE8F5E9"/>
      </patternFill>
    </fill>
    <fill>
      <patternFill patternType="solid">
        <fgColor rgb="FFE8F5E9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CCC8"/>
      </left>
      <right style="thin">
        <color rgb="FFD7CCC8"/>
      </right>
      <top style="thin">
        <color rgb="FFD7CCC8"/>
      </top>
      <bottom style="thin">
        <color rgb="FFD7C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E34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3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CC8"/>
      <rgbColor rgb="FF808080"/>
      <rgbColor rgb="FF9999FF"/>
      <rgbColor rgb="FF6D4C41"/>
      <rgbColor rgb="FFFFF3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ccionario" displayName="Diccionario" ref="A1:J172" headerRowCount="1" totalsRowCount="0" totalsRowShown="0">
  <autoFilter ref="A1:J172"/>
  <tableColumns count="10">
    <tableColumn id="1" name="Tabla"/>
    <tableColumn id="2" name="Campo"/>
    <tableColumn id="3" name="Tipo de dato"/>
    <tableColumn id="4" name="¿Acepta nulo?"/>
    <tableColumn id="5" name="Valor por defecto"/>
    <tableColumn id="6" name="Llave"/>
    <tableColumn id="7" name="Referencia"/>
    <tableColumn id="8" name="Restricciones / reglas"/>
    <tableColumn id="9" name="Descripción"/>
    <tableColumn id="10" name="Ejemplo"/>
  </tableColumns>
</table>
</file>

<file path=xl/tables/table2.xml><?xml version="1.0" encoding="utf-8"?>
<table xmlns="http://schemas.openxmlformats.org/spreadsheetml/2006/main" id="2" name="Indices" displayName="Indices" ref="A1:E22" headerRowCount="1" totalsRowCount="0" totalsRowShown="0">
  <autoFilter ref="A1:E22"/>
  <tableColumns count="5">
    <tableColumn id="1" name="Tabla"/>
    <tableColumn id="2" name="Índice"/>
    <tableColumn id="3" name="Columnas"/>
    <tableColumn id="4" name="Tipo"/>
    <tableColumn id="5" name="Para qué"/>
  </tableColumns>
</table>
</file>

<file path=xl/tables/table3.xml><?xml version="1.0" encoding="utf-8"?>
<table xmlns="http://schemas.openxmlformats.org/spreadsheetml/2006/main" id="3" name="Relaciones" displayName="Relaciones" ref="A1:F26" headerRowCount="1" totalsRowCount="0" totalsRowShown="0">
  <autoFilter ref="A1:F26"/>
  <tableColumns count="6">
    <tableColumn id="1" name="Tabla padre"/>
    <tableColumn id="2" name="Tabla hija"/>
    <tableColumn id="3" name="Cardinalidad"/>
    <tableColumn id="4" name="Llave foránea"/>
    <tableColumn id="5" name="Al borrar el padre"/>
    <tableColumn id="6" name="Significado"/>
  </tableColumns>
</table>
</file>

<file path=xl/tables/table4.xml><?xml version="1.0" encoding="utf-8"?>
<table xmlns="http://schemas.openxmlformats.org/spreadsheetml/2006/main" id="4" name="Valores" displayName="Valores" ref="A1:C50" headerRowCount="1" totalsRowCount="0" totalsRowShown="0">
  <autoFilter ref="A1:C50"/>
  <tableColumns count="3">
    <tableColumn id="1" name="Campo"/>
    <tableColumn id="2" name="Valor"/>
    <tableColumn id="3" name="Significa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70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6" t="s">
        <v>9</v>
      </c>
      <c r="C6" s="5" t="s">
        <v>10</v>
      </c>
      <c r="D6" s="5" t="s">
        <v>11</v>
      </c>
      <c r="E6" s="5" t="n">
        <f aca="false">COUNTIF(Diccionario!$A:$A,B6)</f>
        <v>11</v>
      </c>
      <c r="F6" s="5" t="n">
        <f aca="false">COUNTIFS(Diccionario!$A:$A,B6,Diccionario!$F:$F,"*FK*")</f>
        <v>1</v>
      </c>
    </row>
    <row r="7" customFormat="false" ht="15" hidden="false" customHeight="false" outlineLevel="0" collapsed="false">
      <c r="A7" s="5" t="n">
        <v>2</v>
      </c>
      <c r="B7" s="6" t="s">
        <v>12</v>
      </c>
      <c r="C7" s="5" t="s">
        <v>10</v>
      </c>
      <c r="D7" s="5" t="s">
        <v>13</v>
      </c>
      <c r="E7" s="5" t="n">
        <f aca="false">COUNTIF(Diccionario!$A:$A,B7)</f>
        <v>18</v>
      </c>
      <c r="F7" s="5" t="n">
        <f aca="false">COUNTIFS(Diccionario!$A:$A,B7,Diccionario!$F:$F,"*FK*")</f>
        <v>2</v>
      </c>
    </row>
    <row r="8" customFormat="false" ht="15" hidden="false" customHeight="false" outlineLevel="0" collapsed="false">
      <c r="A8" s="5" t="n">
        <v>3</v>
      </c>
      <c r="B8" s="6" t="s">
        <v>14</v>
      </c>
      <c r="C8" s="5" t="s">
        <v>10</v>
      </c>
      <c r="D8" s="5" t="s">
        <v>15</v>
      </c>
      <c r="E8" s="5" t="n">
        <f aca="false">COUNTIF(Diccionario!$A:$A,B8)</f>
        <v>12</v>
      </c>
      <c r="F8" s="5" t="n">
        <f aca="false">COUNTIFS(Diccionario!$A:$A,B8,Diccionario!$F:$F,"*FK*")</f>
        <v>2</v>
      </c>
    </row>
    <row r="9" customFormat="false" ht="15" hidden="false" customHeight="false" outlineLevel="0" collapsed="false">
      <c r="A9" s="5" t="n">
        <v>4</v>
      </c>
      <c r="B9" s="6" t="s">
        <v>16</v>
      </c>
      <c r="C9" s="5" t="s">
        <v>10</v>
      </c>
      <c r="D9" s="5" t="s">
        <v>17</v>
      </c>
      <c r="E9" s="5" t="n">
        <f aca="false">COUNTIF(Diccionario!$A:$A,B9)</f>
        <v>5</v>
      </c>
      <c r="F9" s="5" t="n">
        <f aca="false">COUNTIFS(Diccionario!$A:$A,B9,Diccionario!$F:$F,"*FK*")</f>
        <v>1</v>
      </c>
    </row>
    <row r="10" customFormat="false" ht="15" hidden="false" customHeight="false" outlineLevel="0" collapsed="false">
      <c r="A10" s="5" t="n">
        <v>5</v>
      </c>
      <c r="B10" s="6" t="s">
        <v>18</v>
      </c>
      <c r="C10" s="5" t="s">
        <v>19</v>
      </c>
      <c r="D10" s="5" t="s">
        <v>20</v>
      </c>
      <c r="E10" s="5" t="n">
        <f aca="false">COUNTIF(Diccionario!$A:$A,B10)</f>
        <v>5</v>
      </c>
      <c r="F10" s="5" t="n">
        <f aca="false">COUNTIFS(Diccionario!$A:$A,B10,Diccionario!$F:$F,"*FK*")</f>
        <v>0</v>
      </c>
    </row>
    <row r="11" customFormat="false" ht="15" hidden="false" customHeight="false" outlineLevel="0" collapsed="false">
      <c r="A11" s="5" t="n">
        <v>6</v>
      </c>
      <c r="B11" s="6" t="s">
        <v>21</v>
      </c>
      <c r="C11" s="5" t="s">
        <v>22</v>
      </c>
      <c r="D11" s="5" t="s">
        <v>23</v>
      </c>
      <c r="E11" s="5" t="n">
        <f aca="false">COUNTIF(Diccionario!$A:$A,B11)</f>
        <v>14</v>
      </c>
      <c r="F11" s="5" t="n">
        <f aca="false">COUNTIFS(Diccionario!$A:$A,B11,Diccionario!$F:$F,"*FK*")</f>
        <v>2</v>
      </c>
    </row>
    <row r="12" customFormat="false" ht="15" hidden="false" customHeight="false" outlineLevel="0" collapsed="false">
      <c r="A12" s="5" t="n">
        <v>7</v>
      </c>
      <c r="B12" s="6" t="s">
        <v>24</v>
      </c>
      <c r="C12" s="5" t="s">
        <v>22</v>
      </c>
      <c r="D12" s="5" t="s">
        <v>25</v>
      </c>
      <c r="E12" s="5" t="n">
        <f aca="false">COUNTIF(Diccionario!$A:$A,B12)</f>
        <v>6</v>
      </c>
      <c r="F12" s="5" t="n">
        <f aca="false">COUNTIFS(Diccionario!$A:$A,B12,Diccionario!$F:$F,"*FK*")</f>
        <v>2</v>
      </c>
    </row>
    <row r="13" customFormat="false" ht="15" hidden="false" customHeight="false" outlineLevel="0" collapsed="false">
      <c r="A13" s="5" t="n">
        <v>8</v>
      </c>
      <c r="B13" s="6" t="s">
        <v>26</v>
      </c>
      <c r="C13" s="5" t="s">
        <v>27</v>
      </c>
      <c r="D13" s="5" t="s">
        <v>28</v>
      </c>
      <c r="E13" s="5" t="n">
        <f aca="false">COUNTIF(Diccionario!$A:$A,B13)</f>
        <v>8</v>
      </c>
      <c r="F13" s="5" t="n">
        <f aca="false">COUNTIFS(Diccionario!$A:$A,B13,Diccionario!$F:$F,"*FK*")</f>
        <v>3</v>
      </c>
    </row>
    <row r="14" customFormat="false" ht="15" hidden="false" customHeight="false" outlineLevel="0" collapsed="false">
      <c r="A14" s="5" t="n">
        <v>9</v>
      </c>
      <c r="B14" s="6" t="s">
        <v>29</v>
      </c>
      <c r="C14" s="5" t="s">
        <v>27</v>
      </c>
      <c r="D14" s="5" t="s">
        <v>30</v>
      </c>
      <c r="E14" s="5" t="n">
        <f aca="false">COUNTIF(Diccionario!$A:$A,B14)</f>
        <v>15</v>
      </c>
      <c r="F14" s="5" t="n">
        <f aca="false">COUNTIFS(Diccionario!$A:$A,B14,Diccionario!$F:$F,"*FK*")</f>
        <v>4</v>
      </c>
    </row>
    <row r="15" customFormat="false" ht="15" hidden="false" customHeight="false" outlineLevel="0" collapsed="false">
      <c r="A15" s="5" t="n">
        <v>10</v>
      </c>
      <c r="B15" s="6" t="s">
        <v>31</v>
      </c>
      <c r="C15" s="5" t="s">
        <v>32</v>
      </c>
      <c r="D15" s="5" t="s">
        <v>33</v>
      </c>
      <c r="E15" s="5" t="n">
        <f aca="false">COUNTIF(Diccionario!$A:$A,B15)</f>
        <v>16</v>
      </c>
      <c r="F15" s="5" t="n">
        <f aca="false">COUNTIFS(Diccionario!$A:$A,B15,Diccionario!$F:$F,"*FK*")</f>
        <v>4</v>
      </c>
    </row>
    <row r="16" customFormat="false" ht="15" hidden="false" customHeight="false" outlineLevel="0" collapsed="false">
      <c r="A16" s="5" t="n">
        <v>11</v>
      </c>
      <c r="B16" s="6" t="s">
        <v>34</v>
      </c>
      <c r="C16" s="5" t="s">
        <v>32</v>
      </c>
      <c r="D16" s="5" t="s">
        <v>35</v>
      </c>
      <c r="E16" s="5" t="n">
        <f aca="false">COUNTIF(Diccionario!$A:$A,B16)</f>
        <v>7</v>
      </c>
      <c r="F16" s="5" t="n">
        <f aca="false">COUNTIFS(Diccionario!$A:$A,B16,Diccionario!$F:$F,"*FK*")</f>
        <v>2</v>
      </c>
    </row>
    <row r="17" customFormat="false" ht="15" hidden="false" customHeight="false" outlineLevel="0" collapsed="false">
      <c r="A17" s="5" t="n">
        <v>12</v>
      </c>
      <c r="B17" s="6" t="s">
        <v>36</v>
      </c>
      <c r="C17" s="5" t="s">
        <v>32</v>
      </c>
      <c r="D17" s="5" t="s">
        <v>37</v>
      </c>
      <c r="E17" s="5" t="n">
        <f aca="false">COUNTIF(Diccionario!$A:$A,B17)</f>
        <v>11</v>
      </c>
      <c r="F17" s="5" t="n">
        <f aca="false">COUNTIFS(Diccionario!$A:$A,B17,Diccionario!$F:$F,"*FK*")</f>
        <v>3</v>
      </c>
    </row>
    <row r="18" customFormat="false" ht="15" hidden="false" customHeight="false" outlineLevel="0" collapsed="false">
      <c r="A18" s="5" t="n">
        <v>13</v>
      </c>
      <c r="B18" s="6" t="s">
        <v>38</v>
      </c>
      <c r="C18" s="5" t="s">
        <v>32</v>
      </c>
      <c r="D18" s="5" t="s">
        <v>39</v>
      </c>
      <c r="E18" s="5" t="n">
        <f aca="false">COUNTIF(Diccionario!$A:$A,B18)</f>
        <v>8</v>
      </c>
      <c r="F18" s="5" t="n">
        <f aca="false">COUNTIFS(Diccionario!$A:$A,B18,Diccionario!$F:$F,"*FK*")</f>
        <v>2</v>
      </c>
    </row>
    <row r="19" customFormat="false" ht="15" hidden="false" customHeight="false" outlineLevel="0" collapsed="false">
      <c r="A19" s="5" t="n">
        <v>14</v>
      </c>
      <c r="B19" s="6" t="s">
        <v>40</v>
      </c>
      <c r="C19" s="5" t="s">
        <v>41</v>
      </c>
      <c r="D19" s="5" t="s">
        <v>42</v>
      </c>
      <c r="E19" s="5" t="n">
        <f aca="false">COUNTIF(Diccionario!$A:$A,B19)</f>
        <v>14</v>
      </c>
      <c r="F19" s="5" t="n">
        <f aca="false">COUNTIFS(Diccionario!$A:$A,B19,Diccionario!$F:$F,"*FK*")</f>
        <v>3</v>
      </c>
    </row>
    <row r="20" customFormat="false" ht="15" hidden="false" customHeight="false" outlineLevel="0" collapsed="false">
      <c r="A20" s="5" t="n">
        <v>15</v>
      </c>
      <c r="B20" s="6" t="s">
        <v>43</v>
      </c>
      <c r="C20" s="5" t="s">
        <v>41</v>
      </c>
      <c r="D20" s="5" t="s">
        <v>44</v>
      </c>
      <c r="E20" s="5" t="n">
        <f aca="false">COUNTIF(Diccionario!$A:$A,B20)</f>
        <v>6</v>
      </c>
      <c r="F20" s="5" t="n">
        <f aca="false">COUNTIFS(Diccionario!$A:$A,B20,Diccionario!$F:$F,"*FK*")</f>
        <v>2</v>
      </c>
    </row>
    <row r="21" customFormat="false" ht="15" hidden="false" customHeight="false" outlineLevel="0" collapsed="false">
      <c r="A21" s="5" t="n">
        <v>16</v>
      </c>
      <c r="B21" s="6" t="s">
        <v>45</v>
      </c>
      <c r="C21" s="5" t="s">
        <v>46</v>
      </c>
      <c r="D21" s="5" t="s">
        <v>47</v>
      </c>
      <c r="E21" s="5" t="n">
        <f aca="false">COUNTIF(Diccionario!$A:$A,B21)</f>
        <v>10</v>
      </c>
      <c r="F21" s="5" t="n">
        <f aca="false">COUNTIFS(Diccionario!$A:$A,B21,Diccionario!$F:$F,"*FK*")</f>
        <v>1</v>
      </c>
    </row>
    <row r="22" customFormat="false" ht="15" hidden="false" customHeight="false" outlineLevel="0" collapsed="false">
      <c r="A22" s="5" t="n">
        <v>17</v>
      </c>
      <c r="B22" s="6" t="s">
        <v>48</v>
      </c>
      <c r="C22" s="5" t="s">
        <v>49</v>
      </c>
      <c r="D22" s="5" t="s">
        <v>50</v>
      </c>
      <c r="E22" s="5" t="n">
        <f aca="false">COUNTIF(Diccionario!$A:$A,B22)</f>
        <v>5</v>
      </c>
      <c r="F22" s="5" t="n">
        <f aca="false">COUNTIFS(Diccionario!$A:$A,B22,Diccionario!$F:$F,"*FK*")</f>
        <v>0</v>
      </c>
    </row>
    <row r="23" customFormat="false" ht="15" hidden="false" customHeight="false" outlineLevel="0" collapsed="false">
      <c r="D23" s="7" t="s">
        <v>51</v>
      </c>
      <c r="E23" s="7" t="n">
        <f aca="false">SUM(E6:E22)</f>
        <v>171</v>
      </c>
      <c r="F23" s="7" t="n">
        <f aca="false">SUM(F6:F22)</f>
        <v>34</v>
      </c>
    </row>
    <row r="25" customFormat="false" ht="15" hidden="false" customHeight="false" outlineLevel="0" collapsed="false">
      <c r="A25" s="7" t="s">
        <v>52</v>
      </c>
    </row>
    <row r="26" customFormat="false" ht="15" hidden="false" customHeight="false" outlineLevel="0" collapsed="false">
      <c r="A26" s="3" t="s">
        <v>53</v>
      </c>
    </row>
    <row r="27" customFormat="false" ht="15" hidden="false" customHeight="false" outlineLevel="0" collapsed="false">
      <c r="A27" s="3" t="s">
        <v>54</v>
      </c>
    </row>
    <row r="28" customFormat="false" ht="15" hidden="false" customHeight="false" outlineLevel="0" collapsed="false">
      <c r="A28" s="3" t="s">
        <v>55</v>
      </c>
    </row>
    <row r="29" customFormat="false" ht="15" hidden="false" customHeight="false" outlineLevel="0" collapsed="false">
      <c r="A29" s="3" t="s">
        <v>56</v>
      </c>
    </row>
    <row r="30" customFormat="false" ht="15" hidden="false" customHeight="false" outlineLevel="0" collapsed="false">
      <c r="A30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48"/>
    <col collapsed="false" customWidth="true" hidden="false" outlineLevel="0" max="10" min="10" style="0" width="28"/>
  </cols>
  <sheetData>
    <row r="1" customFormat="false" ht="23.85" hidden="false" customHeight="false" outlineLevel="0" collapsed="false">
      <c r="A1" s="4" t="s">
        <v>4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</v>
      </c>
      <c r="J1" s="4" t="s">
        <v>65</v>
      </c>
    </row>
    <row r="2" customFormat="false" ht="15" hidden="false" customHeight="false" outlineLevel="0" collapsed="false">
      <c r="A2" s="5" t="s">
        <v>9</v>
      </c>
      <c r="B2" s="8" t="s">
        <v>66</v>
      </c>
      <c r="C2" s="5" t="s">
        <v>67</v>
      </c>
      <c r="D2" s="5" t="s">
        <v>68</v>
      </c>
      <c r="E2" s="5" t="s">
        <v>69</v>
      </c>
      <c r="F2" s="5" t="s">
        <v>70</v>
      </c>
      <c r="G2" s="5"/>
      <c r="H2" s="5"/>
      <c r="I2" s="5" t="s">
        <v>71</v>
      </c>
      <c r="J2" s="5" t="s">
        <v>72</v>
      </c>
    </row>
    <row r="3" customFormat="false" ht="15" hidden="false" customHeight="false" outlineLevel="0" collapsed="false">
      <c r="A3" s="5" t="s">
        <v>9</v>
      </c>
      <c r="B3" s="5" t="s">
        <v>73</v>
      </c>
      <c r="C3" s="5" t="s">
        <v>74</v>
      </c>
      <c r="D3" s="5" t="s">
        <v>68</v>
      </c>
      <c r="E3" s="5"/>
      <c r="F3" s="5" t="s">
        <v>75</v>
      </c>
      <c r="G3" s="5"/>
      <c r="H3" s="5" t="s">
        <v>76</v>
      </c>
      <c r="I3" s="5" t="s">
        <v>77</v>
      </c>
      <c r="J3" s="5" t="s">
        <v>78</v>
      </c>
    </row>
    <row r="4" customFormat="false" ht="23.85" hidden="false" customHeight="false" outlineLevel="0" collapsed="false">
      <c r="A4" s="5" t="s">
        <v>9</v>
      </c>
      <c r="B4" s="5" t="s">
        <v>79</v>
      </c>
      <c r="C4" s="5" t="s">
        <v>74</v>
      </c>
      <c r="D4" s="5" t="s">
        <v>68</v>
      </c>
      <c r="E4" s="5"/>
      <c r="F4" s="5"/>
      <c r="G4" s="5"/>
      <c r="H4" s="5" t="s">
        <v>80</v>
      </c>
      <c r="I4" s="5" t="s">
        <v>81</v>
      </c>
      <c r="J4" s="5" t="s">
        <v>82</v>
      </c>
    </row>
    <row r="5" customFormat="false" ht="15" hidden="false" customHeight="false" outlineLevel="0" collapsed="false">
      <c r="A5" s="5" t="s">
        <v>9</v>
      </c>
      <c r="B5" s="5" t="s">
        <v>83</v>
      </c>
      <c r="C5" s="5" t="s">
        <v>74</v>
      </c>
      <c r="D5" s="5" t="s">
        <v>68</v>
      </c>
      <c r="E5" s="5"/>
      <c r="F5" s="5"/>
      <c r="G5" s="5"/>
      <c r="H5" s="5" t="s">
        <v>84</v>
      </c>
      <c r="I5" s="5" t="s">
        <v>85</v>
      </c>
      <c r="J5" s="5" t="s">
        <v>86</v>
      </c>
    </row>
    <row r="6" customFormat="false" ht="15" hidden="false" customHeight="false" outlineLevel="0" collapsed="false">
      <c r="A6" s="5" t="s">
        <v>9</v>
      </c>
      <c r="B6" s="5" t="s">
        <v>87</v>
      </c>
      <c r="C6" s="5" t="s">
        <v>74</v>
      </c>
      <c r="D6" s="5" t="s">
        <v>68</v>
      </c>
      <c r="E6" s="5"/>
      <c r="F6" s="5"/>
      <c r="G6" s="5"/>
      <c r="H6" s="5" t="s">
        <v>88</v>
      </c>
      <c r="I6" s="5" t="s">
        <v>89</v>
      </c>
      <c r="J6" s="5" t="s">
        <v>90</v>
      </c>
    </row>
    <row r="7" customFormat="false" ht="15" hidden="false" customHeight="false" outlineLevel="0" collapsed="false">
      <c r="A7" s="5" t="s">
        <v>9</v>
      </c>
      <c r="B7" s="5" t="s">
        <v>91</v>
      </c>
      <c r="C7" s="5" t="s">
        <v>74</v>
      </c>
      <c r="D7" s="5" t="s">
        <v>92</v>
      </c>
      <c r="E7" s="5"/>
      <c r="F7" s="5"/>
      <c r="G7" s="5"/>
      <c r="H7" s="5" t="s">
        <v>93</v>
      </c>
      <c r="I7" s="5" t="s">
        <v>94</v>
      </c>
      <c r="J7" s="5" t="s">
        <v>95</v>
      </c>
    </row>
    <row r="8" customFormat="false" ht="23.85" hidden="false" customHeight="false" outlineLevel="0" collapsed="false">
      <c r="A8" s="5" t="s">
        <v>9</v>
      </c>
      <c r="B8" s="5" t="s">
        <v>96</v>
      </c>
      <c r="C8" s="5" t="s">
        <v>74</v>
      </c>
      <c r="D8" s="5" t="s">
        <v>68</v>
      </c>
      <c r="E8" s="5" t="s">
        <v>97</v>
      </c>
      <c r="F8" s="5"/>
      <c r="G8" s="5"/>
      <c r="H8" s="5" t="s">
        <v>98</v>
      </c>
      <c r="I8" s="5" t="s">
        <v>99</v>
      </c>
      <c r="J8" s="5" t="s">
        <v>100</v>
      </c>
    </row>
    <row r="9" customFormat="false" ht="15" hidden="false" customHeight="false" outlineLevel="0" collapsed="false">
      <c r="A9" s="5" t="s">
        <v>9</v>
      </c>
      <c r="B9" s="9" t="s">
        <v>101</v>
      </c>
      <c r="C9" s="5" t="s">
        <v>102</v>
      </c>
      <c r="D9" s="5" t="s">
        <v>92</v>
      </c>
      <c r="E9" s="5"/>
      <c r="F9" s="5" t="s">
        <v>103</v>
      </c>
      <c r="G9" s="5" t="s">
        <v>104</v>
      </c>
      <c r="H9" s="5" t="s">
        <v>105</v>
      </c>
      <c r="I9" s="5" t="s">
        <v>106</v>
      </c>
      <c r="J9" s="5" t="s">
        <v>107</v>
      </c>
    </row>
    <row r="10" customFormat="false" ht="23.85" hidden="false" customHeight="false" outlineLevel="0" collapsed="false">
      <c r="A10" s="5" t="s">
        <v>9</v>
      </c>
      <c r="B10" s="5" t="s">
        <v>108</v>
      </c>
      <c r="C10" s="5" t="s">
        <v>109</v>
      </c>
      <c r="D10" s="5" t="s">
        <v>68</v>
      </c>
      <c r="E10" s="5" t="s">
        <v>110</v>
      </c>
      <c r="F10" s="5"/>
      <c r="G10" s="5"/>
      <c r="H10" s="5"/>
      <c r="I10" s="5" t="s">
        <v>111</v>
      </c>
      <c r="J10" s="5" t="s">
        <v>112</v>
      </c>
    </row>
    <row r="11" customFormat="false" ht="23.85" hidden="false" customHeight="false" outlineLevel="0" collapsed="false">
      <c r="A11" s="5" t="s">
        <v>9</v>
      </c>
      <c r="B11" s="5" t="s">
        <v>113</v>
      </c>
      <c r="C11" s="5" t="s">
        <v>109</v>
      </c>
      <c r="D11" s="5" t="s">
        <v>92</v>
      </c>
      <c r="E11" s="5"/>
      <c r="F11" s="5"/>
      <c r="G11" s="5"/>
      <c r="H11" s="5"/>
      <c r="I11" s="5" t="s">
        <v>114</v>
      </c>
      <c r="J11" s="5" t="s">
        <v>115</v>
      </c>
    </row>
    <row r="12" customFormat="false" ht="23.85" hidden="false" customHeight="false" outlineLevel="0" collapsed="false">
      <c r="A12" s="5" t="s">
        <v>9</v>
      </c>
      <c r="B12" s="5" t="s">
        <v>116</v>
      </c>
      <c r="C12" s="5" t="s">
        <v>102</v>
      </c>
      <c r="D12" s="5" t="s">
        <v>68</v>
      </c>
      <c r="E12" s="5" t="s">
        <v>117</v>
      </c>
      <c r="F12" s="5"/>
      <c r="G12" s="5"/>
      <c r="H12" s="5"/>
      <c r="I12" s="5" t="s">
        <v>118</v>
      </c>
      <c r="J12" s="5" t="s">
        <v>117</v>
      </c>
    </row>
    <row r="13" customFormat="false" ht="15" hidden="false" customHeight="false" outlineLevel="0" collapsed="false">
      <c r="A13" s="5" t="s">
        <v>12</v>
      </c>
      <c r="B13" s="8" t="s">
        <v>119</v>
      </c>
      <c r="C13" s="5" t="s">
        <v>102</v>
      </c>
      <c r="D13" s="5" t="s">
        <v>68</v>
      </c>
      <c r="E13" s="5"/>
      <c r="F13" s="5" t="s">
        <v>120</v>
      </c>
      <c r="G13" s="5" t="s">
        <v>121</v>
      </c>
      <c r="H13" s="5" t="s">
        <v>122</v>
      </c>
      <c r="I13" s="5" t="s">
        <v>123</v>
      </c>
      <c r="J13" s="5" t="s">
        <v>72</v>
      </c>
    </row>
    <row r="14" customFormat="false" ht="15" hidden="false" customHeight="false" outlineLevel="0" collapsed="false">
      <c r="A14" s="5" t="s">
        <v>12</v>
      </c>
      <c r="B14" s="5" t="s">
        <v>87</v>
      </c>
      <c r="C14" s="5" t="s">
        <v>74</v>
      </c>
      <c r="D14" s="5" t="s">
        <v>68</v>
      </c>
      <c r="E14" s="5" t="s">
        <v>124</v>
      </c>
      <c r="F14" s="5"/>
      <c r="G14" s="5"/>
      <c r="H14" s="5" t="s">
        <v>125</v>
      </c>
      <c r="I14" s="5" t="s">
        <v>126</v>
      </c>
      <c r="J14" s="5" t="s">
        <v>127</v>
      </c>
    </row>
    <row r="15" customFormat="false" ht="15" hidden="false" customHeight="false" outlineLevel="0" collapsed="false">
      <c r="A15" s="5" t="s">
        <v>12</v>
      </c>
      <c r="B15" s="5" t="s">
        <v>128</v>
      </c>
      <c r="C15" s="5" t="s">
        <v>74</v>
      </c>
      <c r="D15" s="5" t="s">
        <v>68</v>
      </c>
      <c r="E15" s="5" t="s">
        <v>124</v>
      </c>
      <c r="F15" s="5"/>
      <c r="G15" s="5"/>
      <c r="H15" s="5" t="s">
        <v>129</v>
      </c>
      <c r="I15" s="5" t="s">
        <v>130</v>
      </c>
      <c r="J15" s="5" t="s">
        <v>131</v>
      </c>
    </row>
    <row r="16" customFormat="false" ht="15" hidden="false" customHeight="false" outlineLevel="0" collapsed="false">
      <c r="A16" s="5" t="s">
        <v>12</v>
      </c>
      <c r="B16" s="5" t="s">
        <v>132</v>
      </c>
      <c r="C16" s="5" t="s">
        <v>74</v>
      </c>
      <c r="D16" s="5" t="s">
        <v>68</v>
      </c>
      <c r="E16" s="5" t="s">
        <v>124</v>
      </c>
      <c r="F16" s="5"/>
      <c r="G16" s="5"/>
      <c r="H16" s="5" t="s">
        <v>129</v>
      </c>
      <c r="I16" s="5" t="s">
        <v>133</v>
      </c>
      <c r="J16" s="5" t="s">
        <v>134</v>
      </c>
    </row>
    <row r="17" customFormat="false" ht="15" hidden="false" customHeight="false" outlineLevel="0" collapsed="false">
      <c r="A17" s="5" t="s">
        <v>12</v>
      </c>
      <c r="B17" s="5" t="s">
        <v>135</v>
      </c>
      <c r="C17" s="5" t="s">
        <v>102</v>
      </c>
      <c r="D17" s="5" t="s">
        <v>68</v>
      </c>
      <c r="E17" s="5" t="s">
        <v>117</v>
      </c>
      <c r="F17" s="5"/>
      <c r="G17" s="5"/>
      <c r="H17" s="5" t="s">
        <v>136</v>
      </c>
      <c r="I17" s="5" t="s">
        <v>137</v>
      </c>
      <c r="J17" s="5" t="s">
        <v>138</v>
      </c>
    </row>
    <row r="18" customFormat="false" ht="15" hidden="false" customHeight="false" outlineLevel="0" collapsed="false">
      <c r="A18" s="5" t="s">
        <v>12</v>
      </c>
      <c r="B18" s="5" t="s">
        <v>139</v>
      </c>
      <c r="C18" s="5" t="s">
        <v>140</v>
      </c>
      <c r="D18" s="5" t="s">
        <v>68</v>
      </c>
      <c r="E18" s="5" t="s">
        <v>117</v>
      </c>
      <c r="F18" s="5"/>
      <c r="G18" s="5"/>
      <c r="H18" s="5"/>
      <c r="I18" s="5" t="s">
        <v>141</v>
      </c>
      <c r="J18" s="5" t="s">
        <v>142</v>
      </c>
    </row>
    <row r="19" customFormat="false" ht="15" hidden="false" customHeight="false" outlineLevel="0" collapsed="false">
      <c r="A19" s="5" t="s">
        <v>12</v>
      </c>
      <c r="B19" s="5" t="s">
        <v>143</v>
      </c>
      <c r="C19" s="5" t="s">
        <v>144</v>
      </c>
      <c r="D19" s="5" t="s">
        <v>68</v>
      </c>
      <c r="E19" s="5" t="s">
        <v>145</v>
      </c>
      <c r="F19" s="5"/>
      <c r="G19" s="5"/>
      <c r="H19" s="5" t="s">
        <v>146</v>
      </c>
      <c r="I19" s="5" t="s">
        <v>147</v>
      </c>
      <c r="J19" s="5" t="s">
        <v>148</v>
      </c>
    </row>
    <row r="20" customFormat="false" ht="15" hidden="false" customHeight="false" outlineLevel="0" collapsed="false">
      <c r="A20" s="5" t="s">
        <v>12</v>
      </c>
      <c r="B20" s="5" t="s">
        <v>149</v>
      </c>
      <c r="C20" s="5" t="s">
        <v>144</v>
      </c>
      <c r="D20" s="5" t="s">
        <v>68</v>
      </c>
      <c r="E20" s="5" t="s">
        <v>145</v>
      </c>
      <c r="F20" s="5"/>
      <c r="G20" s="5"/>
      <c r="H20" s="5" t="s">
        <v>150</v>
      </c>
      <c r="I20" s="5" t="s">
        <v>151</v>
      </c>
      <c r="J20" s="5" t="s">
        <v>152</v>
      </c>
    </row>
    <row r="21" customFormat="false" ht="15" hidden="false" customHeight="false" outlineLevel="0" collapsed="false">
      <c r="A21" s="5" t="s">
        <v>12</v>
      </c>
      <c r="B21" s="5" t="s">
        <v>153</v>
      </c>
      <c r="C21" s="5" t="s">
        <v>140</v>
      </c>
      <c r="D21" s="5" t="s">
        <v>68</v>
      </c>
      <c r="E21" s="5" t="s">
        <v>117</v>
      </c>
      <c r="F21" s="5"/>
      <c r="G21" s="5"/>
      <c r="H21" s="5" t="s">
        <v>154</v>
      </c>
      <c r="I21" s="5" t="s">
        <v>155</v>
      </c>
      <c r="J21" s="5" t="s">
        <v>156</v>
      </c>
    </row>
    <row r="22" customFormat="false" ht="15" hidden="false" customHeight="false" outlineLevel="0" collapsed="false">
      <c r="A22" s="5" t="s">
        <v>12</v>
      </c>
      <c r="B22" s="5" t="s">
        <v>157</v>
      </c>
      <c r="C22" s="5" t="s">
        <v>144</v>
      </c>
      <c r="D22" s="5" t="s">
        <v>68</v>
      </c>
      <c r="E22" s="5" t="s">
        <v>145</v>
      </c>
      <c r="F22" s="5"/>
      <c r="G22" s="5"/>
      <c r="H22" s="5"/>
      <c r="I22" s="5" t="s">
        <v>158</v>
      </c>
      <c r="J22" s="5" t="s">
        <v>159</v>
      </c>
    </row>
    <row r="23" customFormat="false" ht="15" hidden="false" customHeight="false" outlineLevel="0" collapsed="false">
      <c r="A23" s="5" t="s">
        <v>12</v>
      </c>
      <c r="B23" s="5" t="s">
        <v>160</v>
      </c>
      <c r="C23" s="5" t="s">
        <v>102</v>
      </c>
      <c r="D23" s="5" t="s">
        <v>92</v>
      </c>
      <c r="E23" s="5"/>
      <c r="F23" s="5"/>
      <c r="G23" s="5"/>
      <c r="H23" s="5"/>
      <c r="I23" s="5" t="s">
        <v>161</v>
      </c>
      <c r="J23" s="5" t="s">
        <v>162</v>
      </c>
    </row>
    <row r="24" customFormat="false" ht="23.85" hidden="false" customHeight="false" outlineLevel="0" collapsed="false">
      <c r="A24" s="5" t="s">
        <v>12</v>
      </c>
      <c r="B24" s="5" t="s">
        <v>163</v>
      </c>
      <c r="C24" s="5" t="s">
        <v>74</v>
      </c>
      <c r="D24" s="5" t="s">
        <v>68</v>
      </c>
      <c r="E24" s="5" t="s">
        <v>124</v>
      </c>
      <c r="F24" s="5"/>
      <c r="G24" s="5"/>
      <c r="H24" s="5"/>
      <c r="I24" s="5" t="s">
        <v>164</v>
      </c>
      <c r="J24" s="5" t="s">
        <v>165</v>
      </c>
    </row>
    <row r="25" customFormat="false" ht="15" hidden="false" customHeight="false" outlineLevel="0" collapsed="false">
      <c r="A25" s="5" t="s">
        <v>12</v>
      </c>
      <c r="B25" s="5" t="s">
        <v>166</v>
      </c>
      <c r="C25" s="5" t="s">
        <v>74</v>
      </c>
      <c r="D25" s="5" t="s">
        <v>68</v>
      </c>
      <c r="E25" s="5" t="s">
        <v>124</v>
      </c>
      <c r="F25" s="5"/>
      <c r="G25" s="5"/>
      <c r="H25" s="5"/>
      <c r="I25" s="5" t="s">
        <v>167</v>
      </c>
      <c r="J25" s="5" t="s">
        <v>168</v>
      </c>
    </row>
    <row r="26" customFormat="false" ht="15" hidden="false" customHeight="false" outlineLevel="0" collapsed="false">
      <c r="A26" s="5" t="s">
        <v>12</v>
      </c>
      <c r="B26" s="5" t="s">
        <v>169</v>
      </c>
      <c r="C26" s="5" t="s">
        <v>74</v>
      </c>
      <c r="D26" s="5" t="s">
        <v>68</v>
      </c>
      <c r="E26" s="5" t="s">
        <v>124</v>
      </c>
      <c r="F26" s="5"/>
      <c r="G26" s="5"/>
      <c r="H26" s="5"/>
      <c r="I26" s="5" t="s">
        <v>170</v>
      </c>
      <c r="J26" s="5" t="s">
        <v>171</v>
      </c>
    </row>
    <row r="27" customFormat="false" ht="15" hidden="false" customHeight="false" outlineLevel="0" collapsed="false">
      <c r="A27" s="5" t="s">
        <v>12</v>
      </c>
      <c r="B27" s="5" t="s">
        <v>172</v>
      </c>
      <c r="C27" s="5" t="s">
        <v>74</v>
      </c>
      <c r="D27" s="5" t="s">
        <v>68</v>
      </c>
      <c r="E27" s="5" t="s">
        <v>124</v>
      </c>
      <c r="F27" s="5"/>
      <c r="G27" s="5"/>
      <c r="H27" s="5"/>
      <c r="I27" s="5" t="s">
        <v>173</v>
      </c>
      <c r="J27" s="5" t="s">
        <v>174</v>
      </c>
    </row>
    <row r="28" customFormat="false" ht="15" hidden="false" customHeight="false" outlineLevel="0" collapsed="false">
      <c r="A28" s="5" t="s">
        <v>12</v>
      </c>
      <c r="B28" s="5" t="s">
        <v>175</v>
      </c>
      <c r="C28" s="5" t="s">
        <v>74</v>
      </c>
      <c r="D28" s="5" t="s">
        <v>68</v>
      </c>
      <c r="E28" s="5" t="s">
        <v>124</v>
      </c>
      <c r="F28" s="5"/>
      <c r="G28" s="5"/>
      <c r="H28" s="5" t="s">
        <v>176</v>
      </c>
      <c r="I28" s="5" t="s">
        <v>177</v>
      </c>
      <c r="J28" s="5" t="s">
        <v>178</v>
      </c>
    </row>
    <row r="29" customFormat="false" ht="15" hidden="false" customHeight="false" outlineLevel="0" collapsed="false">
      <c r="A29" s="5" t="s">
        <v>12</v>
      </c>
      <c r="B29" s="9" t="s">
        <v>179</v>
      </c>
      <c r="C29" s="5" t="s">
        <v>102</v>
      </c>
      <c r="D29" s="5" t="s">
        <v>92</v>
      </c>
      <c r="E29" s="5"/>
      <c r="F29" s="5" t="s">
        <v>103</v>
      </c>
      <c r="G29" s="5" t="s">
        <v>104</v>
      </c>
      <c r="H29" s="5" t="s">
        <v>105</v>
      </c>
      <c r="I29" s="5" t="s">
        <v>180</v>
      </c>
      <c r="J29" s="5" t="s">
        <v>181</v>
      </c>
    </row>
    <row r="30" customFormat="false" ht="15" hidden="false" customHeight="false" outlineLevel="0" collapsed="false">
      <c r="A30" s="5" t="s">
        <v>12</v>
      </c>
      <c r="B30" s="5" t="s">
        <v>182</v>
      </c>
      <c r="C30" s="5" t="s">
        <v>183</v>
      </c>
      <c r="D30" s="5" t="s">
        <v>68</v>
      </c>
      <c r="E30" s="5" t="s">
        <v>145</v>
      </c>
      <c r="F30" s="5"/>
      <c r="G30" s="5" t="s">
        <v>184</v>
      </c>
      <c r="H30" s="5" t="s">
        <v>185</v>
      </c>
      <c r="I30" s="5" t="s">
        <v>186</v>
      </c>
      <c r="J30" s="5" t="s">
        <v>187</v>
      </c>
    </row>
    <row r="31" customFormat="false" ht="15" hidden="false" customHeight="false" outlineLevel="0" collapsed="false">
      <c r="A31" s="5" t="s">
        <v>14</v>
      </c>
      <c r="B31" s="8" t="s">
        <v>119</v>
      </c>
      <c r="C31" s="5" t="s">
        <v>102</v>
      </c>
      <c r="D31" s="5" t="s">
        <v>68</v>
      </c>
      <c r="E31" s="5"/>
      <c r="F31" s="5" t="s">
        <v>120</v>
      </c>
      <c r="G31" s="5" t="s">
        <v>121</v>
      </c>
      <c r="H31" s="5" t="s">
        <v>122</v>
      </c>
      <c r="I31" s="5" t="s">
        <v>188</v>
      </c>
      <c r="J31" s="5" t="s">
        <v>189</v>
      </c>
    </row>
    <row r="32" customFormat="false" ht="15" hidden="false" customHeight="false" outlineLevel="0" collapsed="false">
      <c r="A32" s="5" t="s">
        <v>14</v>
      </c>
      <c r="B32" s="5" t="s">
        <v>190</v>
      </c>
      <c r="C32" s="5" t="s">
        <v>74</v>
      </c>
      <c r="D32" s="5" t="s">
        <v>68</v>
      </c>
      <c r="E32" s="5" t="s">
        <v>124</v>
      </c>
      <c r="F32" s="5"/>
      <c r="G32" s="5"/>
      <c r="H32" s="5" t="s">
        <v>125</v>
      </c>
      <c r="I32" s="5" t="s">
        <v>191</v>
      </c>
      <c r="J32" s="5" t="s">
        <v>192</v>
      </c>
    </row>
    <row r="33" customFormat="false" ht="15" hidden="false" customHeight="false" outlineLevel="0" collapsed="false">
      <c r="A33" s="5" t="s">
        <v>14</v>
      </c>
      <c r="B33" s="5" t="s">
        <v>193</v>
      </c>
      <c r="C33" s="5" t="s">
        <v>74</v>
      </c>
      <c r="D33" s="5" t="s">
        <v>68</v>
      </c>
      <c r="E33" s="5" t="s">
        <v>124</v>
      </c>
      <c r="F33" s="5"/>
      <c r="G33" s="5"/>
      <c r="H33" s="5" t="s">
        <v>129</v>
      </c>
      <c r="I33" s="5" t="s">
        <v>194</v>
      </c>
      <c r="J33" s="5" t="s">
        <v>195</v>
      </c>
    </row>
    <row r="34" customFormat="false" ht="15" hidden="false" customHeight="false" outlineLevel="0" collapsed="false">
      <c r="A34" s="5" t="s">
        <v>14</v>
      </c>
      <c r="B34" s="5" t="s">
        <v>196</v>
      </c>
      <c r="C34" s="5" t="s">
        <v>74</v>
      </c>
      <c r="D34" s="5" t="s">
        <v>68</v>
      </c>
      <c r="E34" s="5" t="s">
        <v>124</v>
      </c>
      <c r="F34" s="5"/>
      <c r="G34" s="5"/>
      <c r="H34" s="5" t="s">
        <v>129</v>
      </c>
      <c r="I34" s="5" t="s">
        <v>197</v>
      </c>
      <c r="J34" s="5" t="s">
        <v>198</v>
      </c>
    </row>
    <row r="35" customFormat="false" ht="15" hidden="false" customHeight="false" outlineLevel="0" collapsed="false">
      <c r="A35" s="5" t="s">
        <v>14</v>
      </c>
      <c r="B35" s="5" t="s">
        <v>199</v>
      </c>
      <c r="C35" s="5" t="s">
        <v>74</v>
      </c>
      <c r="D35" s="5" t="s">
        <v>68</v>
      </c>
      <c r="E35" s="5" t="s">
        <v>124</v>
      </c>
      <c r="F35" s="5"/>
      <c r="G35" s="5"/>
      <c r="H35" s="5" t="s">
        <v>129</v>
      </c>
      <c r="I35" s="5" t="s">
        <v>200</v>
      </c>
      <c r="J35" s="5" t="s">
        <v>201</v>
      </c>
    </row>
    <row r="36" customFormat="false" ht="15" hidden="false" customHeight="false" outlineLevel="0" collapsed="false">
      <c r="A36" s="5" t="s">
        <v>14</v>
      </c>
      <c r="B36" s="5" t="s">
        <v>202</v>
      </c>
      <c r="C36" s="5" t="s">
        <v>74</v>
      </c>
      <c r="D36" s="5" t="s">
        <v>68</v>
      </c>
      <c r="E36" s="5" t="s">
        <v>124</v>
      </c>
      <c r="F36" s="5"/>
      <c r="G36" s="5"/>
      <c r="H36" s="5" t="s">
        <v>129</v>
      </c>
      <c r="I36" s="5" t="s">
        <v>203</v>
      </c>
      <c r="J36" s="5" t="s">
        <v>204</v>
      </c>
    </row>
    <row r="37" customFormat="false" ht="15" hidden="false" customHeight="false" outlineLevel="0" collapsed="false">
      <c r="A37" s="5" t="s">
        <v>14</v>
      </c>
      <c r="B37" s="5" t="s">
        <v>160</v>
      </c>
      <c r="C37" s="5" t="s">
        <v>102</v>
      </c>
      <c r="D37" s="5" t="s">
        <v>92</v>
      </c>
      <c r="E37" s="5"/>
      <c r="F37" s="5"/>
      <c r="G37" s="5"/>
      <c r="H37" s="5"/>
      <c r="I37" s="5" t="s">
        <v>205</v>
      </c>
      <c r="J37" s="5" t="s">
        <v>206</v>
      </c>
    </row>
    <row r="38" customFormat="false" ht="15" hidden="false" customHeight="false" outlineLevel="0" collapsed="false">
      <c r="A38" s="5" t="s">
        <v>14</v>
      </c>
      <c r="B38" s="5" t="s">
        <v>207</v>
      </c>
      <c r="C38" s="5" t="s">
        <v>74</v>
      </c>
      <c r="D38" s="5" t="s">
        <v>68</v>
      </c>
      <c r="E38" s="5" t="s">
        <v>124</v>
      </c>
      <c r="F38" s="5"/>
      <c r="G38" s="5"/>
      <c r="H38" s="5"/>
      <c r="I38" s="5" t="s">
        <v>208</v>
      </c>
      <c r="J38" s="5" t="s">
        <v>209</v>
      </c>
    </row>
    <row r="39" customFormat="false" ht="15" hidden="false" customHeight="false" outlineLevel="0" collapsed="false">
      <c r="A39" s="5" t="s">
        <v>14</v>
      </c>
      <c r="B39" s="5" t="s">
        <v>210</v>
      </c>
      <c r="C39" s="5" t="s">
        <v>74</v>
      </c>
      <c r="D39" s="5" t="s">
        <v>68</v>
      </c>
      <c r="E39" s="5" t="s">
        <v>124</v>
      </c>
      <c r="F39" s="5"/>
      <c r="G39" s="5"/>
      <c r="H39" s="5"/>
      <c r="I39" s="5" t="s">
        <v>211</v>
      </c>
      <c r="J39" s="5" t="s">
        <v>212</v>
      </c>
    </row>
    <row r="40" customFormat="false" ht="15" hidden="false" customHeight="false" outlineLevel="0" collapsed="false">
      <c r="A40" s="5" t="s">
        <v>14</v>
      </c>
      <c r="B40" s="5" t="s">
        <v>213</v>
      </c>
      <c r="C40" s="5" t="s">
        <v>74</v>
      </c>
      <c r="D40" s="5" t="s">
        <v>68</v>
      </c>
      <c r="E40" s="5" t="s">
        <v>124</v>
      </c>
      <c r="F40" s="5"/>
      <c r="G40" s="5"/>
      <c r="H40" s="5"/>
      <c r="I40" s="5" t="s">
        <v>214</v>
      </c>
      <c r="J40" s="5" t="s">
        <v>215</v>
      </c>
    </row>
    <row r="41" customFormat="false" ht="15" hidden="false" customHeight="false" outlineLevel="0" collapsed="false">
      <c r="A41" s="5" t="s">
        <v>14</v>
      </c>
      <c r="B41" s="5" t="s">
        <v>216</v>
      </c>
      <c r="C41" s="5" t="s">
        <v>74</v>
      </c>
      <c r="D41" s="5" t="s">
        <v>68</v>
      </c>
      <c r="E41" s="5" t="s">
        <v>124</v>
      </c>
      <c r="F41" s="5"/>
      <c r="G41" s="5"/>
      <c r="H41" s="5"/>
      <c r="I41" s="5" t="s">
        <v>217</v>
      </c>
      <c r="J41" s="5" t="s">
        <v>218</v>
      </c>
    </row>
    <row r="42" customFormat="false" ht="15" hidden="false" customHeight="false" outlineLevel="0" collapsed="false">
      <c r="A42" s="5" t="s">
        <v>14</v>
      </c>
      <c r="B42" s="9" t="s">
        <v>179</v>
      </c>
      <c r="C42" s="5" t="s">
        <v>102</v>
      </c>
      <c r="D42" s="5" t="s">
        <v>92</v>
      </c>
      <c r="E42" s="5"/>
      <c r="F42" s="5" t="s">
        <v>103</v>
      </c>
      <c r="G42" s="5" t="s">
        <v>104</v>
      </c>
      <c r="H42" s="5" t="s">
        <v>105</v>
      </c>
      <c r="I42" s="5" t="s">
        <v>180</v>
      </c>
      <c r="J42" s="5" t="s">
        <v>219</v>
      </c>
    </row>
    <row r="43" customFormat="false" ht="15" hidden="false" customHeight="false" outlineLevel="0" collapsed="false">
      <c r="A43" s="5" t="s">
        <v>16</v>
      </c>
      <c r="B43" s="8" t="s">
        <v>119</v>
      </c>
      <c r="C43" s="5" t="s">
        <v>102</v>
      </c>
      <c r="D43" s="5" t="s">
        <v>68</v>
      </c>
      <c r="E43" s="5"/>
      <c r="F43" s="5" t="s">
        <v>120</v>
      </c>
      <c r="G43" s="5" t="s">
        <v>121</v>
      </c>
      <c r="H43" s="5" t="s">
        <v>122</v>
      </c>
      <c r="I43" s="5" t="s">
        <v>220</v>
      </c>
      <c r="J43" s="5" t="s">
        <v>72</v>
      </c>
    </row>
    <row r="44" customFormat="false" ht="15" hidden="false" customHeight="false" outlineLevel="0" collapsed="false">
      <c r="A44" s="5" t="s">
        <v>16</v>
      </c>
      <c r="B44" s="5" t="s">
        <v>221</v>
      </c>
      <c r="C44" s="5" t="s">
        <v>74</v>
      </c>
      <c r="D44" s="5" t="s">
        <v>68</v>
      </c>
      <c r="E44" s="5"/>
      <c r="F44" s="5"/>
      <c r="G44" s="5"/>
      <c r="H44" s="5" t="s">
        <v>222</v>
      </c>
      <c r="I44" s="5" t="s">
        <v>223</v>
      </c>
      <c r="J44" s="5" t="s">
        <v>82</v>
      </c>
    </row>
    <row r="45" customFormat="false" ht="23.85" hidden="false" customHeight="false" outlineLevel="0" collapsed="false">
      <c r="A45" s="5" t="s">
        <v>16</v>
      </c>
      <c r="B45" s="5" t="s">
        <v>224</v>
      </c>
      <c r="C45" s="5" t="s">
        <v>109</v>
      </c>
      <c r="D45" s="5" t="s">
        <v>68</v>
      </c>
      <c r="E45" s="5"/>
      <c r="F45" s="5"/>
      <c r="G45" s="5"/>
      <c r="H45" s="5" t="s">
        <v>225</v>
      </c>
      <c r="I45" s="5" t="s">
        <v>226</v>
      </c>
      <c r="J45" s="5" t="s">
        <v>227</v>
      </c>
    </row>
    <row r="46" customFormat="false" ht="15" hidden="false" customHeight="false" outlineLevel="0" collapsed="false">
      <c r="A46" s="5" t="s">
        <v>16</v>
      </c>
      <c r="B46" s="5" t="s">
        <v>228</v>
      </c>
      <c r="C46" s="5" t="s">
        <v>102</v>
      </c>
      <c r="D46" s="5" t="s">
        <v>68</v>
      </c>
      <c r="E46" s="5" t="s">
        <v>117</v>
      </c>
      <c r="F46" s="5"/>
      <c r="G46" s="5"/>
      <c r="H46" s="5" t="s">
        <v>229</v>
      </c>
      <c r="I46" s="5" t="s">
        <v>230</v>
      </c>
      <c r="J46" s="5" t="s">
        <v>231</v>
      </c>
    </row>
    <row r="47" customFormat="false" ht="23.85" hidden="false" customHeight="false" outlineLevel="0" collapsed="false">
      <c r="A47" s="5" t="s">
        <v>16</v>
      </c>
      <c r="B47" s="5" t="s">
        <v>108</v>
      </c>
      <c r="C47" s="5" t="s">
        <v>109</v>
      </c>
      <c r="D47" s="5" t="s">
        <v>68</v>
      </c>
      <c r="E47" s="5" t="s">
        <v>110</v>
      </c>
      <c r="F47" s="5"/>
      <c r="G47" s="5"/>
      <c r="H47" s="5"/>
      <c r="I47" s="5" t="s">
        <v>232</v>
      </c>
      <c r="J47" s="5" t="s">
        <v>233</v>
      </c>
    </row>
    <row r="48" customFormat="false" ht="23.85" hidden="false" customHeight="false" outlineLevel="0" collapsed="false">
      <c r="A48" s="5" t="s">
        <v>18</v>
      </c>
      <c r="B48" s="8" t="s">
        <v>66</v>
      </c>
      <c r="C48" s="5" t="s">
        <v>67</v>
      </c>
      <c r="D48" s="5" t="s">
        <v>68</v>
      </c>
      <c r="E48" s="5" t="s">
        <v>69</v>
      </c>
      <c r="F48" s="5" t="s">
        <v>70</v>
      </c>
      <c r="G48" s="5"/>
      <c r="H48" s="5" t="s">
        <v>234</v>
      </c>
      <c r="I48" s="5" t="s">
        <v>235</v>
      </c>
      <c r="J48" s="5" t="s">
        <v>107</v>
      </c>
    </row>
    <row r="49" customFormat="false" ht="15" hidden="false" customHeight="false" outlineLevel="0" collapsed="false">
      <c r="A49" s="5" t="s">
        <v>18</v>
      </c>
      <c r="B49" s="5" t="s">
        <v>236</v>
      </c>
      <c r="C49" s="5" t="s">
        <v>102</v>
      </c>
      <c r="D49" s="5" t="s">
        <v>92</v>
      </c>
      <c r="E49" s="5"/>
      <c r="F49" s="5"/>
      <c r="G49" s="5" t="s">
        <v>237</v>
      </c>
      <c r="H49" s="5"/>
      <c r="I49" s="5" t="s">
        <v>238</v>
      </c>
      <c r="J49" s="5" t="s">
        <v>72</v>
      </c>
    </row>
    <row r="50" customFormat="false" ht="23.85" hidden="false" customHeight="false" outlineLevel="0" collapsed="false">
      <c r="A50" s="5" t="s">
        <v>18</v>
      </c>
      <c r="B50" s="5" t="s">
        <v>239</v>
      </c>
      <c r="C50" s="5" t="s">
        <v>74</v>
      </c>
      <c r="D50" s="5" t="s">
        <v>68</v>
      </c>
      <c r="E50" s="5"/>
      <c r="F50" s="5"/>
      <c r="G50" s="5"/>
      <c r="H50" s="5" t="s">
        <v>240</v>
      </c>
      <c r="I50" s="5" t="s">
        <v>241</v>
      </c>
      <c r="J50" s="5" t="s">
        <v>242</v>
      </c>
    </row>
    <row r="51" customFormat="false" ht="15" hidden="false" customHeight="false" outlineLevel="0" collapsed="false">
      <c r="A51" s="5" t="s">
        <v>18</v>
      </c>
      <c r="B51" s="5" t="s">
        <v>243</v>
      </c>
      <c r="C51" s="5" t="s">
        <v>244</v>
      </c>
      <c r="D51" s="5" t="s">
        <v>68</v>
      </c>
      <c r="E51" s="5"/>
      <c r="F51" s="5"/>
      <c r="G51" s="5"/>
      <c r="H51" s="5" t="s">
        <v>245</v>
      </c>
      <c r="I51" s="5" t="s">
        <v>246</v>
      </c>
      <c r="J51" s="5" t="s">
        <v>247</v>
      </c>
    </row>
    <row r="52" customFormat="false" ht="23.85" hidden="false" customHeight="false" outlineLevel="0" collapsed="false">
      <c r="A52" s="5" t="s">
        <v>18</v>
      </c>
      <c r="B52" s="5" t="s">
        <v>108</v>
      </c>
      <c r="C52" s="5" t="s">
        <v>109</v>
      </c>
      <c r="D52" s="5" t="s">
        <v>68</v>
      </c>
      <c r="E52" s="5" t="s">
        <v>110</v>
      </c>
      <c r="F52" s="5"/>
      <c r="G52" s="5"/>
      <c r="H52" s="5"/>
      <c r="I52" s="5" t="s">
        <v>248</v>
      </c>
      <c r="J52" s="5" t="s">
        <v>249</v>
      </c>
    </row>
    <row r="53" customFormat="false" ht="15" hidden="false" customHeight="false" outlineLevel="0" collapsed="false">
      <c r="A53" s="5" t="s">
        <v>21</v>
      </c>
      <c r="B53" s="8" t="s">
        <v>66</v>
      </c>
      <c r="C53" s="5" t="s">
        <v>67</v>
      </c>
      <c r="D53" s="5" t="s">
        <v>68</v>
      </c>
      <c r="E53" s="5" t="s">
        <v>69</v>
      </c>
      <c r="F53" s="5" t="s">
        <v>70</v>
      </c>
      <c r="G53" s="5"/>
      <c r="H53" s="5"/>
      <c r="I53" s="5" t="s">
        <v>250</v>
      </c>
      <c r="J53" s="5" t="s">
        <v>251</v>
      </c>
    </row>
    <row r="54" customFormat="false" ht="15" hidden="false" customHeight="false" outlineLevel="0" collapsed="false">
      <c r="A54" s="5" t="s">
        <v>21</v>
      </c>
      <c r="B54" s="9" t="s">
        <v>252</v>
      </c>
      <c r="C54" s="5" t="s">
        <v>102</v>
      </c>
      <c r="D54" s="5" t="s">
        <v>68</v>
      </c>
      <c r="E54" s="5"/>
      <c r="F54" s="5" t="s">
        <v>103</v>
      </c>
      <c r="G54" s="5" t="s">
        <v>121</v>
      </c>
      <c r="H54" s="5" t="s">
        <v>122</v>
      </c>
      <c r="I54" s="5" t="s">
        <v>253</v>
      </c>
      <c r="J54" s="5" t="s">
        <v>72</v>
      </c>
    </row>
    <row r="55" customFormat="false" ht="15" hidden="false" customHeight="false" outlineLevel="0" collapsed="false">
      <c r="A55" s="5" t="s">
        <v>21</v>
      </c>
      <c r="B55" s="5" t="s">
        <v>87</v>
      </c>
      <c r="C55" s="5" t="s">
        <v>74</v>
      </c>
      <c r="D55" s="5" t="s">
        <v>68</v>
      </c>
      <c r="E55" s="5"/>
      <c r="F55" s="5"/>
      <c r="G55" s="5"/>
      <c r="H55" s="5" t="s">
        <v>125</v>
      </c>
      <c r="I55" s="5" t="s">
        <v>254</v>
      </c>
      <c r="J55" s="5" t="s">
        <v>255</v>
      </c>
    </row>
    <row r="56" customFormat="false" ht="15" hidden="false" customHeight="false" outlineLevel="0" collapsed="false">
      <c r="A56" s="5" t="s">
        <v>21</v>
      </c>
      <c r="B56" s="5" t="s">
        <v>256</v>
      </c>
      <c r="C56" s="5" t="s">
        <v>74</v>
      </c>
      <c r="D56" s="5" t="s">
        <v>68</v>
      </c>
      <c r="E56" s="5"/>
      <c r="F56" s="5"/>
      <c r="G56" s="5"/>
      <c r="H56" s="5" t="s">
        <v>257</v>
      </c>
      <c r="I56" s="5" t="s">
        <v>258</v>
      </c>
      <c r="J56" s="5" t="s">
        <v>259</v>
      </c>
    </row>
    <row r="57" customFormat="false" ht="15" hidden="false" customHeight="false" outlineLevel="0" collapsed="false">
      <c r="A57" s="5" t="s">
        <v>21</v>
      </c>
      <c r="B57" s="5" t="s">
        <v>260</v>
      </c>
      <c r="C57" s="5" t="s">
        <v>74</v>
      </c>
      <c r="D57" s="5" t="s">
        <v>68</v>
      </c>
      <c r="E57" s="5"/>
      <c r="F57" s="5"/>
      <c r="G57" s="5"/>
      <c r="H57" s="5" t="s">
        <v>261</v>
      </c>
      <c r="I57" s="5" t="s">
        <v>262</v>
      </c>
      <c r="J57" s="5" t="s">
        <v>263</v>
      </c>
    </row>
    <row r="58" customFormat="false" ht="23.85" hidden="false" customHeight="false" outlineLevel="0" collapsed="false">
      <c r="A58" s="5" t="s">
        <v>21</v>
      </c>
      <c r="B58" s="5" t="s">
        <v>264</v>
      </c>
      <c r="C58" s="5" t="s">
        <v>102</v>
      </c>
      <c r="D58" s="5" t="s">
        <v>68</v>
      </c>
      <c r="E58" s="5"/>
      <c r="F58" s="5"/>
      <c r="G58" s="5"/>
      <c r="H58" s="5" t="s">
        <v>265</v>
      </c>
      <c r="I58" s="5" t="s">
        <v>266</v>
      </c>
      <c r="J58" s="5" t="s">
        <v>267</v>
      </c>
    </row>
    <row r="59" customFormat="false" ht="15" hidden="false" customHeight="false" outlineLevel="0" collapsed="false">
      <c r="A59" s="5" t="s">
        <v>21</v>
      </c>
      <c r="B59" s="5" t="s">
        <v>153</v>
      </c>
      <c r="C59" s="5" t="s">
        <v>140</v>
      </c>
      <c r="D59" s="5" t="s">
        <v>68</v>
      </c>
      <c r="E59" s="5"/>
      <c r="F59" s="5"/>
      <c r="G59" s="5"/>
      <c r="H59" s="5" t="s">
        <v>268</v>
      </c>
      <c r="I59" s="5" t="s">
        <v>269</v>
      </c>
      <c r="J59" s="5" t="s">
        <v>270</v>
      </c>
    </row>
    <row r="60" customFormat="false" ht="15" hidden="false" customHeight="false" outlineLevel="0" collapsed="false">
      <c r="A60" s="5" t="s">
        <v>21</v>
      </c>
      <c r="B60" s="5" t="s">
        <v>271</v>
      </c>
      <c r="C60" s="5" t="s">
        <v>140</v>
      </c>
      <c r="D60" s="5" t="s">
        <v>68</v>
      </c>
      <c r="E60" s="5"/>
      <c r="F60" s="5"/>
      <c r="G60" s="5"/>
      <c r="H60" s="5" t="s">
        <v>272</v>
      </c>
      <c r="I60" s="5" t="s">
        <v>273</v>
      </c>
      <c r="J60" s="5" t="s">
        <v>274</v>
      </c>
    </row>
    <row r="61" customFormat="false" ht="15" hidden="false" customHeight="false" outlineLevel="0" collapsed="false">
      <c r="A61" s="5" t="s">
        <v>21</v>
      </c>
      <c r="B61" s="5" t="s">
        <v>275</v>
      </c>
      <c r="C61" s="5" t="s">
        <v>102</v>
      </c>
      <c r="D61" s="5" t="s">
        <v>92</v>
      </c>
      <c r="E61" s="5"/>
      <c r="F61" s="5"/>
      <c r="G61" s="5"/>
      <c r="H61" s="5"/>
      <c r="I61" s="5" t="s">
        <v>276</v>
      </c>
      <c r="J61" s="5" t="s">
        <v>277</v>
      </c>
    </row>
    <row r="62" customFormat="false" ht="15" hidden="false" customHeight="false" outlineLevel="0" collapsed="false">
      <c r="A62" s="5" t="s">
        <v>21</v>
      </c>
      <c r="B62" s="5" t="s">
        <v>157</v>
      </c>
      <c r="C62" s="5" t="s">
        <v>144</v>
      </c>
      <c r="D62" s="5" t="s">
        <v>68</v>
      </c>
      <c r="E62" s="5" t="s">
        <v>145</v>
      </c>
      <c r="F62" s="5"/>
      <c r="G62" s="5"/>
      <c r="H62" s="5" t="s">
        <v>278</v>
      </c>
      <c r="I62" s="5" t="s">
        <v>158</v>
      </c>
      <c r="J62" s="5" t="s">
        <v>279</v>
      </c>
    </row>
    <row r="63" customFormat="false" ht="15" hidden="false" customHeight="false" outlineLevel="0" collapsed="false">
      <c r="A63" s="5" t="s">
        <v>21</v>
      </c>
      <c r="B63" s="5" t="s">
        <v>280</v>
      </c>
      <c r="C63" s="5" t="s">
        <v>74</v>
      </c>
      <c r="D63" s="5" t="s">
        <v>68</v>
      </c>
      <c r="E63" s="5" t="s">
        <v>124</v>
      </c>
      <c r="F63" s="5"/>
      <c r="G63" s="5"/>
      <c r="H63" s="5" t="s">
        <v>129</v>
      </c>
      <c r="I63" s="5" t="s">
        <v>281</v>
      </c>
      <c r="J63" s="5" t="s">
        <v>282</v>
      </c>
    </row>
    <row r="64" customFormat="false" ht="15" hidden="false" customHeight="false" outlineLevel="0" collapsed="false">
      <c r="A64" s="5" t="s">
        <v>21</v>
      </c>
      <c r="B64" s="9" t="s">
        <v>101</v>
      </c>
      <c r="C64" s="5" t="s">
        <v>102</v>
      </c>
      <c r="D64" s="5" t="s">
        <v>92</v>
      </c>
      <c r="E64" s="5"/>
      <c r="F64" s="5" t="s">
        <v>103</v>
      </c>
      <c r="G64" s="5" t="s">
        <v>104</v>
      </c>
      <c r="H64" s="5" t="s">
        <v>105</v>
      </c>
      <c r="I64" s="5" t="s">
        <v>283</v>
      </c>
      <c r="J64" s="5" t="s">
        <v>284</v>
      </c>
    </row>
    <row r="65" customFormat="false" ht="15" hidden="false" customHeight="false" outlineLevel="0" collapsed="false">
      <c r="A65" s="5" t="s">
        <v>21</v>
      </c>
      <c r="B65" s="5" t="s">
        <v>285</v>
      </c>
      <c r="C65" s="5" t="s">
        <v>286</v>
      </c>
      <c r="D65" s="5" t="s">
        <v>68</v>
      </c>
      <c r="E65" s="5" t="s">
        <v>287</v>
      </c>
      <c r="F65" s="5"/>
      <c r="G65" s="5"/>
      <c r="H65" s="5"/>
      <c r="I65" s="5" t="s">
        <v>288</v>
      </c>
      <c r="J65" s="5" t="s">
        <v>287</v>
      </c>
    </row>
    <row r="66" customFormat="false" ht="23.85" hidden="false" customHeight="false" outlineLevel="0" collapsed="false">
      <c r="A66" s="5" t="s">
        <v>21</v>
      </c>
      <c r="B66" s="5" t="s">
        <v>108</v>
      </c>
      <c r="C66" s="5" t="s">
        <v>109</v>
      </c>
      <c r="D66" s="5" t="s">
        <v>68</v>
      </c>
      <c r="E66" s="5" t="s">
        <v>110</v>
      </c>
      <c r="F66" s="5"/>
      <c r="G66" s="5"/>
      <c r="H66" s="5"/>
      <c r="I66" s="5" t="s">
        <v>289</v>
      </c>
      <c r="J66" s="5" t="s">
        <v>290</v>
      </c>
    </row>
    <row r="67" customFormat="false" ht="15" hidden="false" customHeight="false" outlineLevel="0" collapsed="false">
      <c r="A67" s="5" t="s">
        <v>24</v>
      </c>
      <c r="B67" s="8" t="s">
        <v>291</v>
      </c>
      <c r="C67" s="5" t="s">
        <v>102</v>
      </c>
      <c r="D67" s="5" t="s">
        <v>68</v>
      </c>
      <c r="E67" s="5"/>
      <c r="F67" s="5" t="s">
        <v>120</v>
      </c>
      <c r="G67" s="5" t="s">
        <v>292</v>
      </c>
      <c r="H67" s="5" t="s">
        <v>122</v>
      </c>
      <c r="I67" s="5" t="s">
        <v>293</v>
      </c>
      <c r="J67" s="5" t="s">
        <v>251</v>
      </c>
    </row>
    <row r="68" customFormat="false" ht="15" hidden="false" customHeight="false" outlineLevel="0" collapsed="false">
      <c r="A68" s="5" t="s">
        <v>24</v>
      </c>
      <c r="B68" s="8" t="s">
        <v>294</v>
      </c>
      <c r="C68" s="5" t="s">
        <v>102</v>
      </c>
      <c r="D68" s="5" t="s">
        <v>68</v>
      </c>
      <c r="E68" s="5"/>
      <c r="F68" s="5" t="s">
        <v>120</v>
      </c>
      <c r="G68" s="5" t="s">
        <v>121</v>
      </c>
      <c r="H68" s="5" t="s">
        <v>122</v>
      </c>
      <c r="I68" s="5" t="s">
        <v>295</v>
      </c>
      <c r="J68" s="5" t="s">
        <v>189</v>
      </c>
    </row>
    <row r="69" customFormat="false" ht="15" hidden="false" customHeight="false" outlineLevel="0" collapsed="false">
      <c r="A69" s="5" t="s">
        <v>24</v>
      </c>
      <c r="B69" s="5" t="s">
        <v>296</v>
      </c>
      <c r="C69" s="5" t="s">
        <v>102</v>
      </c>
      <c r="D69" s="5" t="s">
        <v>68</v>
      </c>
      <c r="E69" s="5" t="s">
        <v>231</v>
      </c>
      <c r="F69" s="5"/>
      <c r="G69" s="5"/>
      <c r="H69" s="5" t="s">
        <v>297</v>
      </c>
      <c r="I69" s="5" t="s">
        <v>298</v>
      </c>
      <c r="J69" s="5" t="s">
        <v>299</v>
      </c>
    </row>
    <row r="70" customFormat="false" ht="23.85" hidden="false" customHeight="false" outlineLevel="0" collapsed="false">
      <c r="A70" s="5" t="s">
        <v>24</v>
      </c>
      <c r="B70" s="5" t="s">
        <v>300</v>
      </c>
      <c r="C70" s="5" t="s">
        <v>109</v>
      </c>
      <c r="D70" s="5" t="s">
        <v>68</v>
      </c>
      <c r="E70" s="5" t="s">
        <v>110</v>
      </c>
      <c r="F70" s="5"/>
      <c r="G70" s="5"/>
      <c r="H70" s="5"/>
      <c r="I70" s="5" t="s">
        <v>301</v>
      </c>
      <c r="J70" s="5" t="s">
        <v>302</v>
      </c>
    </row>
    <row r="71" customFormat="false" ht="23.85" hidden="false" customHeight="false" outlineLevel="0" collapsed="false">
      <c r="A71" s="5" t="s">
        <v>24</v>
      </c>
      <c r="B71" s="5" t="s">
        <v>303</v>
      </c>
      <c r="C71" s="5" t="s">
        <v>109</v>
      </c>
      <c r="D71" s="5" t="s">
        <v>68</v>
      </c>
      <c r="E71" s="5" t="s">
        <v>110</v>
      </c>
      <c r="F71" s="5"/>
      <c r="G71" s="5"/>
      <c r="H71" s="5"/>
      <c r="I71" s="5" t="s">
        <v>304</v>
      </c>
      <c r="J71" s="5" t="s">
        <v>305</v>
      </c>
    </row>
    <row r="72" customFormat="false" ht="23.85" hidden="false" customHeight="false" outlineLevel="0" collapsed="false">
      <c r="A72" s="5" t="s">
        <v>24</v>
      </c>
      <c r="B72" s="5" t="s">
        <v>306</v>
      </c>
      <c r="C72" s="5" t="s">
        <v>109</v>
      </c>
      <c r="D72" s="5" t="s">
        <v>92</v>
      </c>
      <c r="E72" s="5"/>
      <c r="F72" s="5"/>
      <c r="G72" s="5"/>
      <c r="H72" s="5" t="s">
        <v>307</v>
      </c>
      <c r="I72" s="5" t="s">
        <v>308</v>
      </c>
      <c r="J72" s="5" t="s">
        <v>302</v>
      </c>
    </row>
    <row r="73" customFormat="false" ht="15" hidden="false" customHeight="false" outlineLevel="0" collapsed="false">
      <c r="A73" s="5" t="s">
        <v>26</v>
      </c>
      <c r="B73" s="8" t="s">
        <v>66</v>
      </c>
      <c r="C73" s="5" t="s">
        <v>67</v>
      </c>
      <c r="D73" s="5" t="s">
        <v>68</v>
      </c>
      <c r="E73" s="5" t="s">
        <v>69</v>
      </c>
      <c r="F73" s="5" t="s">
        <v>70</v>
      </c>
      <c r="G73" s="5"/>
      <c r="H73" s="5"/>
      <c r="I73" s="5" t="s">
        <v>309</v>
      </c>
      <c r="J73" s="5" t="s">
        <v>310</v>
      </c>
    </row>
    <row r="74" customFormat="false" ht="23.85" hidden="false" customHeight="false" outlineLevel="0" collapsed="false">
      <c r="A74" s="5" t="s">
        <v>26</v>
      </c>
      <c r="B74" s="9" t="s">
        <v>252</v>
      </c>
      <c r="C74" s="5" t="s">
        <v>102</v>
      </c>
      <c r="D74" s="5" t="s">
        <v>68</v>
      </c>
      <c r="E74" s="5"/>
      <c r="F74" s="5" t="s">
        <v>311</v>
      </c>
      <c r="G74" s="5" t="s">
        <v>121</v>
      </c>
      <c r="H74" s="5" t="s">
        <v>312</v>
      </c>
      <c r="I74" s="5" t="s">
        <v>313</v>
      </c>
      <c r="J74" s="5" t="s">
        <v>72</v>
      </c>
    </row>
    <row r="75" customFormat="false" ht="15" hidden="false" customHeight="false" outlineLevel="0" collapsed="false">
      <c r="A75" s="5" t="s">
        <v>26</v>
      </c>
      <c r="B75" s="9" t="s">
        <v>294</v>
      </c>
      <c r="C75" s="5" t="s">
        <v>102</v>
      </c>
      <c r="D75" s="5" t="s">
        <v>68</v>
      </c>
      <c r="E75" s="5"/>
      <c r="F75" s="5" t="s">
        <v>311</v>
      </c>
      <c r="G75" s="5" t="s">
        <v>121</v>
      </c>
      <c r="H75" s="5" t="s">
        <v>122</v>
      </c>
      <c r="I75" s="5" t="s">
        <v>314</v>
      </c>
      <c r="J75" s="5" t="s">
        <v>189</v>
      </c>
    </row>
    <row r="76" customFormat="false" ht="15" hidden="false" customHeight="false" outlineLevel="0" collapsed="false">
      <c r="A76" s="5" t="s">
        <v>26</v>
      </c>
      <c r="B76" s="9" t="s">
        <v>291</v>
      </c>
      <c r="C76" s="5" t="s">
        <v>102</v>
      </c>
      <c r="D76" s="5" t="s">
        <v>92</v>
      </c>
      <c r="E76" s="5"/>
      <c r="F76" s="5" t="s">
        <v>103</v>
      </c>
      <c r="G76" s="5" t="s">
        <v>292</v>
      </c>
      <c r="H76" s="5" t="s">
        <v>105</v>
      </c>
      <c r="I76" s="5" t="s">
        <v>315</v>
      </c>
      <c r="J76" s="5" t="s">
        <v>251</v>
      </c>
    </row>
    <row r="77" customFormat="false" ht="15" hidden="false" customHeight="false" outlineLevel="0" collapsed="false">
      <c r="A77" s="5" t="s">
        <v>26</v>
      </c>
      <c r="B77" s="5" t="s">
        <v>316</v>
      </c>
      <c r="C77" s="5" t="s">
        <v>102</v>
      </c>
      <c r="D77" s="5" t="s">
        <v>68</v>
      </c>
      <c r="E77" s="5" t="s">
        <v>117</v>
      </c>
      <c r="F77" s="5"/>
      <c r="G77" s="5" t="s">
        <v>317</v>
      </c>
      <c r="H77" s="5"/>
      <c r="I77" s="5" t="s">
        <v>318</v>
      </c>
      <c r="J77" s="5" t="s">
        <v>319</v>
      </c>
    </row>
    <row r="78" customFormat="false" ht="15" hidden="false" customHeight="false" outlineLevel="0" collapsed="false">
      <c r="A78" s="5" t="s">
        <v>26</v>
      </c>
      <c r="B78" s="5" t="s">
        <v>320</v>
      </c>
      <c r="C78" s="5" t="s">
        <v>102</v>
      </c>
      <c r="D78" s="5" t="s">
        <v>68</v>
      </c>
      <c r="E78" s="5" t="s">
        <v>117</v>
      </c>
      <c r="F78" s="5"/>
      <c r="G78" s="5" t="s">
        <v>317</v>
      </c>
      <c r="H78" s="5"/>
      <c r="I78" s="5" t="s">
        <v>321</v>
      </c>
      <c r="J78" s="5" t="s">
        <v>322</v>
      </c>
    </row>
    <row r="79" customFormat="false" ht="23.85" hidden="false" customHeight="false" outlineLevel="0" collapsed="false">
      <c r="A79" s="5" t="s">
        <v>26</v>
      </c>
      <c r="B79" s="5" t="s">
        <v>108</v>
      </c>
      <c r="C79" s="5" t="s">
        <v>109</v>
      </c>
      <c r="D79" s="5" t="s">
        <v>68</v>
      </c>
      <c r="E79" s="5" t="s">
        <v>110</v>
      </c>
      <c r="F79" s="5"/>
      <c r="G79" s="5"/>
      <c r="H79" s="5"/>
      <c r="I79" s="5" t="s">
        <v>323</v>
      </c>
      <c r="J79" s="5" t="s">
        <v>324</v>
      </c>
    </row>
    <row r="80" customFormat="false" ht="23.85" hidden="false" customHeight="false" outlineLevel="0" collapsed="false">
      <c r="A80" s="5" t="s">
        <v>26</v>
      </c>
      <c r="B80" s="5" t="s">
        <v>325</v>
      </c>
      <c r="C80" s="5" t="s">
        <v>109</v>
      </c>
      <c r="D80" s="5" t="s">
        <v>68</v>
      </c>
      <c r="E80" s="5" t="s">
        <v>110</v>
      </c>
      <c r="F80" s="5"/>
      <c r="G80" s="5"/>
      <c r="H80" s="5"/>
      <c r="I80" s="5" t="s">
        <v>326</v>
      </c>
      <c r="J80" s="5" t="s">
        <v>327</v>
      </c>
    </row>
    <row r="81" customFormat="false" ht="15" hidden="false" customHeight="false" outlineLevel="0" collapsed="false">
      <c r="A81" s="5" t="s">
        <v>29</v>
      </c>
      <c r="B81" s="8" t="s">
        <v>66</v>
      </c>
      <c r="C81" s="5" t="s">
        <v>67</v>
      </c>
      <c r="D81" s="5" t="s">
        <v>68</v>
      </c>
      <c r="E81" s="5" t="s">
        <v>69</v>
      </c>
      <c r="F81" s="5" t="s">
        <v>70</v>
      </c>
      <c r="G81" s="5"/>
      <c r="H81" s="5" t="s">
        <v>328</v>
      </c>
      <c r="I81" s="5" t="s">
        <v>329</v>
      </c>
      <c r="J81" s="5" t="s">
        <v>330</v>
      </c>
    </row>
    <row r="82" customFormat="false" ht="15" hidden="false" customHeight="false" outlineLevel="0" collapsed="false">
      <c r="A82" s="5" t="s">
        <v>29</v>
      </c>
      <c r="B82" s="9" t="s">
        <v>331</v>
      </c>
      <c r="C82" s="5" t="s">
        <v>102</v>
      </c>
      <c r="D82" s="5" t="s">
        <v>68</v>
      </c>
      <c r="E82" s="5"/>
      <c r="F82" s="5" t="s">
        <v>103</v>
      </c>
      <c r="G82" s="5" t="s">
        <v>332</v>
      </c>
      <c r="H82" s="5" t="s">
        <v>122</v>
      </c>
      <c r="I82" s="5" t="s">
        <v>333</v>
      </c>
      <c r="J82" s="5" t="s">
        <v>310</v>
      </c>
    </row>
    <row r="83" customFormat="false" ht="15" hidden="false" customHeight="false" outlineLevel="0" collapsed="false">
      <c r="A83" s="5" t="s">
        <v>29</v>
      </c>
      <c r="B83" s="9" t="s">
        <v>334</v>
      </c>
      <c r="C83" s="5" t="s">
        <v>102</v>
      </c>
      <c r="D83" s="5" t="s">
        <v>92</v>
      </c>
      <c r="E83" s="5"/>
      <c r="F83" s="5" t="s">
        <v>103</v>
      </c>
      <c r="G83" s="5" t="s">
        <v>121</v>
      </c>
      <c r="H83" s="5" t="s">
        <v>105</v>
      </c>
      <c r="I83" s="5" t="s">
        <v>335</v>
      </c>
      <c r="J83" s="5" t="s">
        <v>189</v>
      </c>
    </row>
    <row r="84" customFormat="false" ht="23.85" hidden="false" customHeight="false" outlineLevel="0" collapsed="false">
      <c r="A84" s="5" t="s">
        <v>29</v>
      </c>
      <c r="B84" s="5" t="s">
        <v>199</v>
      </c>
      <c r="C84" s="5" t="s">
        <v>74</v>
      </c>
      <c r="D84" s="5" t="s">
        <v>68</v>
      </c>
      <c r="E84" s="5"/>
      <c r="F84" s="5"/>
      <c r="G84" s="5"/>
      <c r="H84" s="5" t="s">
        <v>336</v>
      </c>
      <c r="I84" s="5" t="s">
        <v>337</v>
      </c>
      <c r="J84" s="5" t="s">
        <v>338</v>
      </c>
    </row>
    <row r="85" customFormat="false" ht="15" hidden="false" customHeight="false" outlineLevel="0" collapsed="false">
      <c r="A85" s="5" t="s">
        <v>29</v>
      </c>
      <c r="B85" s="5" t="s">
        <v>338</v>
      </c>
      <c r="C85" s="5" t="s">
        <v>74</v>
      </c>
      <c r="D85" s="5" t="s">
        <v>92</v>
      </c>
      <c r="E85" s="5"/>
      <c r="F85" s="5"/>
      <c r="G85" s="5"/>
      <c r="H85" s="5" t="s">
        <v>339</v>
      </c>
      <c r="I85" s="5" t="s">
        <v>340</v>
      </c>
      <c r="J85" s="5" t="s">
        <v>341</v>
      </c>
    </row>
    <row r="86" customFormat="false" ht="15" hidden="false" customHeight="false" outlineLevel="0" collapsed="false">
      <c r="A86" s="5" t="s">
        <v>29</v>
      </c>
      <c r="B86" s="5" t="s">
        <v>96</v>
      </c>
      <c r="C86" s="5" t="s">
        <v>74</v>
      </c>
      <c r="D86" s="5" t="s">
        <v>92</v>
      </c>
      <c r="E86" s="5"/>
      <c r="F86" s="5"/>
      <c r="G86" s="5"/>
      <c r="H86" s="5" t="s">
        <v>342</v>
      </c>
      <c r="I86" s="5" t="s">
        <v>343</v>
      </c>
      <c r="J86" s="5" t="s">
        <v>344</v>
      </c>
    </row>
    <row r="87" customFormat="false" ht="15" hidden="false" customHeight="false" outlineLevel="0" collapsed="false">
      <c r="A87" s="5" t="s">
        <v>29</v>
      </c>
      <c r="B87" s="5" t="s">
        <v>345</v>
      </c>
      <c r="C87" s="5" t="s">
        <v>74</v>
      </c>
      <c r="D87" s="5" t="s">
        <v>92</v>
      </c>
      <c r="E87" s="5"/>
      <c r="F87" s="5"/>
      <c r="G87" s="5"/>
      <c r="H87" s="5"/>
      <c r="I87" s="5" t="s">
        <v>346</v>
      </c>
      <c r="J87" s="5" t="s">
        <v>347</v>
      </c>
    </row>
    <row r="88" customFormat="false" ht="15" hidden="false" customHeight="false" outlineLevel="0" collapsed="false">
      <c r="A88" s="5" t="s">
        <v>29</v>
      </c>
      <c r="B88" s="5" t="s">
        <v>348</v>
      </c>
      <c r="C88" s="5" t="s">
        <v>74</v>
      </c>
      <c r="D88" s="5" t="s">
        <v>92</v>
      </c>
      <c r="E88" s="5"/>
      <c r="F88" s="5"/>
      <c r="G88" s="5"/>
      <c r="H88" s="5" t="s">
        <v>349</v>
      </c>
      <c r="I88" s="5" t="s">
        <v>350</v>
      </c>
      <c r="J88" s="5" t="s">
        <v>100</v>
      </c>
    </row>
    <row r="89" customFormat="false" ht="15" hidden="false" customHeight="false" outlineLevel="0" collapsed="false">
      <c r="A89" s="5" t="s">
        <v>29</v>
      </c>
      <c r="B89" s="5" t="s">
        <v>351</v>
      </c>
      <c r="C89" s="5" t="s">
        <v>286</v>
      </c>
      <c r="D89" s="5" t="s">
        <v>68</v>
      </c>
      <c r="E89" s="5" t="s">
        <v>352</v>
      </c>
      <c r="F89" s="5"/>
      <c r="G89" s="5"/>
      <c r="H89" s="5"/>
      <c r="I89" s="5" t="s">
        <v>353</v>
      </c>
      <c r="J89" s="5" t="s">
        <v>352</v>
      </c>
    </row>
    <row r="90" customFormat="false" ht="15" hidden="false" customHeight="false" outlineLevel="0" collapsed="false">
      <c r="A90" s="5" t="s">
        <v>29</v>
      </c>
      <c r="B90" s="9" t="s">
        <v>101</v>
      </c>
      <c r="C90" s="5" t="s">
        <v>102</v>
      </c>
      <c r="D90" s="5" t="s">
        <v>92</v>
      </c>
      <c r="E90" s="5"/>
      <c r="F90" s="5" t="s">
        <v>103</v>
      </c>
      <c r="G90" s="5" t="s">
        <v>104</v>
      </c>
      <c r="H90" s="5" t="s">
        <v>105</v>
      </c>
      <c r="I90" s="5" t="s">
        <v>354</v>
      </c>
      <c r="J90" s="5" t="s">
        <v>355</v>
      </c>
    </row>
    <row r="91" customFormat="false" ht="23.85" hidden="false" customHeight="false" outlineLevel="0" collapsed="false">
      <c r="A91" s="5" t="s">
        <v>29</v>
      </c>
      <c r="B91" s="5" t="s">
        <v>356</v>
      </c>
      <c r="C91" s="5" t="s">
        <v>357</v>
      </c>
      <c r="D91" s="5" t="s">
        <v>92</v>
      </c>
      <c r="E91" s="5"/>
      <c r="F91" s="5"/>
      <c r="G91" s="5"/>
      <c r="H91" s="5" t="s">
        <v>358</v>
      </c>
      <c r="I91" s="5" t="s">
        <v>359</v>
      </c>
      <c r="J91" s="5" t="s">
        <v>360</v>
      </c>
    </row>
    <row r="92" customFormat="false" ht="15" hidden="false" customHeight="false" outlineLevel="0" collapsed="false">
      <c r="A92" s="5" t="s">
        <v>29</v>
      </c>
      <c r="B92" s="9" t="s">
        <v>361</v>
      </c>
      <c r="C92" s="5" t="s">
        <v>102</v>
      </c>
      <c r="D92" s="5" t="s">
        <v>92</v>
      </c>
      <c r="E92" s="5"/>
      <c r="F92" s="5" t="s">
        <v>103</v>
      </c>
      <c r="G92" s="5" t="s">
        <v>362</v>
      </c>
      <c r="H92" s="5" t="s">
        <v>105</v>
      </c>
      <c r="I92" s="5" t="s">
        <v>363</v>
      </c>
      <c r="J92" s="5" t="s">
        <v>364</v>
      </c>
    </row>
    <row r="93" customFormat="false" ht="15" hidden="false" customHeight="false" outlineLevel="0" collapsed="false">
      <c r="A93" s="5" t="s">
        <v>29</v>
      </c>
      <c r="B93" s="5" t="s">
        <v>365</v>
      </c>
      <c r="C93" s="5" t="s">
        <v>74</v>
      </c>
      <c r="D93" s="5" t="s">
        <v>92</v>
      </c>
      <c r="E93" s="5"/>
      <c r="F93" s="5"/>
      <c r="G93" s="5"/>
      <c r="H93" s="5"/>
      <c r="I93" s="5" t="s">
        <v>366</v>
      </c>
      <c r="J93" s="5" t="s">
        <v>367</v>
      </c>
    </row>
    <row r="94" customFormat="false" ht="15" hidden="false" customHeight="false" outlineLevel="0" collapsed="false">
      <c r="A94" s="5" t="s">
        <v>29</v>
      </c>
      <c r="B94" s="5" t="s">
        <v>368</v>
      </c>
      <c r="C94" s="5" t="s">
        <v>74</v>
      </c>
      <c r="D94" s="5" t="s">
        <v>92</v>
      </c>
      <c r="E94" s="5"/>
      <c r="F94" s="5"/>
      <c r="G94" s="5"/>
      <c r="H94" s="5"/>
      <c r="I94" s="5" t="s">
        <v>369</v>
      </c>
      <c r="J94" s="5" t="s">
        <v>370</v>
      </c>
    </row>
    <row r="95" customFormat="false" ht="23.85" hidden="false" customHeight="false" outlineLevel="0" collapsed="false">
      <c r="A95" s="5" t="s">
        <v>29</v>
      </c>
      <c r="B95" s="5" t="s">
        <v>108</v>
      </c>
      <c r="C95" s="5" t="s">
        <v>109</v>
      </c>
      <c r="D95" s="5" t="s">
        <v>68</v>
      </c>
      <c r="E95" s="5" t="s">
        <v>110</v>
      </c>
      <c r="F95" s="5"/>
      <c r="G95" s="5"/>
      <c r="H95" s="5"/>
      <c r="I95" s="5" t="s">
        <v>371</v>
      </c>
      <c r="J95" s="5" t="s">
        <v>327</v>
      </c>
    </row>
    <row r="96" customFormat="false" ht="15" hidden="false" customHeight="false" outlineLevel="0" collapsed="false">
      <c r="A96" s="5" t="s">
        <v>31</v>
      </c>
      <c r="B96" s="8" t="s">
        <v>66</v>
      </c>
      <c r="C96" s="5" t="s">
        <v>67</v>
      </c>
      <c r="D96" s="5" t="s">
        <v>68</v>
      </c>
      <c r="E96" s="5" t="s">
        <v>69</v>
      </c>
      <c r="F96" s="5" t="s">
        <v>70</v>
      </c>
      <c r="G96" s="5"/>
      <c r="H96" s="5"/>
      <c r="I96" s="5" t="s">
        <v>372</v>
      </c>
      <c r="J96" s="5" t="s">
        <v>364</v>
      </c>
    </row>
    <row r="97" customFormat="false" ht="15" hidden="false" customHeight="false" outlineLevel="0" collapsed="false">
      <c r="A97" s="5" t="s">
        <v>31</v>
      </c>
      <c r="B97" s="5" t="s">
        <v>373</v>
      </c>
      <c r="C97" s="5" t="s">
        <v>74</v>
      </c>
      <c r="D97" s="5" t="s">
        <v>68</v>
      </c>
      <c r="E97" s="5"/>
      <c r="F97" s="5" t="s">
        <v>75</v>
      </c>
      <c r="G97" s="5"/>
      <c r="H97" s="5" t="s">
        <v>374</v>
      </c>
      <c r="I97" s="5" t="s">
        <v>375</v>
      </c>
      <c r="J97" s="5" t="s">
        <v>376</v>
      </c>
    </row>
    <row r="98" customFormat="false" ht="15" hidden="false" customHeight="false" outlineLevel="0" collapsed="false">
      <c r="A98" s="5" t="s">
        <v>31</v>
      </c>
      <c r="B98" s="9" t="s">
        <v>331</v>
      </c>
      <c r="C98" s="5" t="s">
        <v>102</v>
      </c>
      <c r="D98" s="5" t="s">
        <v>92</v>
      </c>
      <c r="E98" s="5"/>
      <c r="F98" s="5" t="s">
        <v>103</v>
      </c>
      <c r="G98" s="5" t="s">
        <v>332</v>
      </c>
      <c r="H98" s="5" t="s">
        <v>105</v>
      </c>
      <c r="I98" s="5" t="s">
        <v>377</v>
      </c>
      <c r="J98" s="5" t="s">
        <v>310</v>
      </c>
    </row>
    <row r="99" customFormat="false" ht="15" hidden="false" customHeight="false" outlineLevel="0" collapsed="false">
      <c r="A99" s="5" t="s">
        <v>31</v>
      </c>
      <c r="B99" s="9" t="s">
        <v>252</v>
      </c>
      <c r="C99" s="5" t="s">
        <v>102</v>
      </c>
      <c r="D99" s="5" t="s">
        <v>68</v>
      </c>
      <c r="E99" s="5"/>
      <c r="F99" s="5" t="s">
        <v>103</v>
      </c>
      <c r="G99" s="5" t="s">
        <v>121</v>
      </c>
      <c r="H99" s="5" t="s">
        <v>378</v>
      </c>
      <c r="I99" s="5" t="s">
        <v>379</v>
      </c>
      <c r="J99" s="5" t="s">
        <v>72</v>
      </c>
    </row>
    <row r="100" customFormat="false" ht="15" hidden="false" customHeight="false" outlineLevel="0" collapsed="false">
      <c r="A100" s="5" t="s">
        <v>31</v>
      </c>
      <c r="B100" s="9" t="s">
        <v>294</v>
      </c>
      <c r="C100" s="5" t="s">
        <v>102</v>
      </c>
      <c r="D100" s="5" t="s">
        <v>68</v>
      </c>
      <c r="E100" s="5"/>
      <c r="F100" s="5" t="s">
        <v>103</v>
      </c>
      <c r="G100" s="5" t="s">
        <v>121</v>
      </c>
      <c r="H100" s="5" t="s">
        <v>378</v>
      </c>
      <c r="I100" s="5" t="s">
        <v>380</v>
      </c>
      <c r="J100" s="5" t="s">
        <v>189</v>
      </c>
    </row>
    <row r="101" customFormat="false" ht="15" hidden="false" customHeight="false" outlineLevel="0" collapsed="false">
      <c r="A101" s="5" t="s">
        <v>31</v>
      </c>
      <c r="B101" s="9" t="s">
        <v>291</v>
      </c>
      <c r="C101" s="5" t="s">
        <v>102</v>
      </c>
      <c r="D101" s="5" t="s">
        <v>92</v>
      </c>
      <c r="E101" s="5"/>
      <c r="F101" s="5" t="s">
        <v>103</v>
      </c>
      <c r="G101" s="5" t="s">
        <v>292</v>
      </c>
      <c r="H101" s="5" t="s">
        <v>105</v>
      </c>
      <c r="I101" s="5" t="s">
        <v>381</v>
      </c>
      <c r="J101" s="5" t="s">
        <v>251</v>
      </c>
    </row>
    <row r="102" customFormat="false" ht="23.85" hidden="false" customHeight="false" outlineLevel="0" collapsed="false">
      <c r="A102" s="5" t="s">
        <v>31</v>
      </c>
      <c r="B102" s="5" t="s">
        <v>382</v>
      </c>
      <c r="C102" s="5" t="s">
        <v>74</v>
      </c>
      <c r="D102" s="5" t="s">
        <v>68</v>
      </c>
      <c r="E102" s="5"/>
      <c r="F102" s="5"/>
      <c r="G102" s="5"/>
      <c r="H102" s="5"/>
      <c r="I102" s="5" t="s">
        <v>383</v>
      </c>
      <c r="J102" s="5" t="s">
        <v>255</v>
      </c>
    </row>
    <row r="103" customFormat="false" ht="15" hidden="false" customHeight="false" outlineLevel="0" collapsed="false">
      <c r="A103" s="5" t="s">
        <v>31</v>
      </c>
      <c r="B103" s="5" t="s">
        <v>256</v>
      </c>
      <c r="C103" s="5" t="s">
        <v>74</v>
      </c>
      <c r="D103" s="5" t="s">
        <v>68</v>
      </c>
      <c r="E103" s="5"/>
      <c r="F103" s="5"/>
      <c r="G103" s="5"/>
      <c r="H103" s="5"/>
      <c r="I103" s="5" t="s">
        <v>384</v>
      </c>
      <c r="J103" s="5" t="s">
        <v>259</v>
      </c>
    </row>
    <row r="104" customFormat="false" ht="15" hidden="false" customHeight="false" outlineLevel="0" collapsed="false">
      <c r="A104" s="5" t="s">
        <v>31</v>
      </c>
      <c r="B104" s="5" t="s">
        <v>260</v>
      </c>
      <c r="C104" s="5" t="s">
        <v>74</v>
      </c>
      <c r="D104" s="5" t="s">
        <v>68</v>
      </c>
      <c r="E104" s="5"/>
      <c r="F104" s="5"/>
      <c r="G104" s="5"/>
      <c r="H104" s="5"/>
      <c r="I104" s="5" t="s">
        <v>385</v>
      </c>
      <c r="J104" s="5" t="s">
        <v>263</v>
      </c>
    </row>
    <row r="105" customFormat="false" ht="15" hidden="false" customHeight="false" outlineLevel="0" collapsed="false">
      <c r="A105" s="5" t="s">
        <v>31</v>
      </c>
      <c r="B105" s="5" t="s">
        <v>153</v>
      </c>
      <c r="C105" s="5" t="s">
        <v>140</v>
      </c>
      <c r="D105" s="5" t="s">
        <v>68</v>
      </c>
      <c r="E105" s="5"/>
      <c r="F105" s="5"/>
      <c r="G105" s="5"/>
      <c r="H105" s="5"/>
      <c r="I105" s="5" t="s">
        <v>386</v>
      </c>
      <c r="J105" s="5" t="s">
        <v>270</v>
      </c>
    </row>
    <row r="106" customFormat="false" ht="15" hidden="false" customHeight="false" outlineLevel="0" collapsed="false">
      <c r="A106" s="5" t="s">
        <v>31</v>
      </c>
      <c r="B106" s="5" t="s">
        <v>271</v>
      </c>
      <c r="C106" s="5" t="s">
        <v>140</v>
      </c>
      <c r="D106" s="5" t="s">
        <v>68</v>
      </c>
      <c r="E106" s="5"/>
      <c r="F106" s="5"/>
      <c r="G106" s="5"/>
      <c r="H106" s="5" t="s">
        <v>387</v>
      </c>
      <c r="I106" s="5" t="s">
        <v>388</v>
      </c>
      <c r="J106" s="5" t="s">
        <v>389</v>
      </c>
    </row>
    <row r="107" customFormat="false" ht="15" hidden="false" customHeight="false" outlineLevel="0" collapsed="false">
      <c r="A107" s="5" t="s">
        <v>31</v>
      </c>
      <c r="B107" s="5" t="s">
        <v>264</v>
      </c>
      <c r="C107" s="5" t="s">
        <v>102</v>
      </c>
      <c r="D107" s="5" t="s">
        <v>68</v>
      </c>
      <c r="E107" s="5"/>
      <c r="F107" s="5"/>
      <c r="G107" s="5"/>
      <c r="H107" s="5" t="s">
        <v>387</v>
      </c>
      <c r="I107" s="5" t="s">
        <v>390</v>
      </c>
      <c r="J107" s="5" t="s">
        <v>219</v>
      </c>
    </row>
    <row r="108" customFormat="false" ht="15" hidden="false" customHeight="false" outlineLevel="0" collapsed="false">
      <c r="A108" s="5" t="s">
        <v>31</v>
      </c>
      <c r="B108" s="5" t="s">
        <v>391</v>
      </c>
      <c r="C108" s="5" t="s">
        <v>74</v>
      </c>
      <c r="D108" s="5" t="s">
        <v>68</v>
      </c>
      <c r="E108" s="5"/>
      <c r="F108" s="5"/>
      <c r="G108" s="5"/>
      <c r="H108" s="5"/>
      <c r="I108" s="5" t="s">
        <v>392</v>
      </c>
      <c r="J108" s="5" t="s">
        <v>393</v>
      </c>
    </row>
    <row r="109" customFormat="false" ht="23.85" hidden="false" customHeight="false" outlineLevel="0" collapsed="false">
      <c r="A109" s="5" t="s">
        <v>31</v>
      </c>
      <c r="B109" s="5" t="s">
        <v>394</v>
      </c>
      <c r="C109" s="5" t="s">
        <v>102</v>
      </c>
      <c r="D109" s="5" t="s">
        <v>68</v>
      </c>
      <c r="E109" s="5" t="s">
        <v>231</v>
      </c>
      <c r="F109" s="5"/>
      <c r="G109" s="5"/>
      <c r="H109" s="5" t="s">
        <v>395</v>
      </c>
      <c r="I109" s="5" t="s">
        <v>396</v>
      </c>
      <c r="J109" s="5" t="s">
        <v>299</v>
      </c>
    </row>
    <row r="110" customFormat="false" ht="23.85" hidden="false" customHeight="false" outlineLevel="0" collapsed="false">
      <c r="A110" s="5" t="s">
        <v>31</v>
      </c>
      <c r="B110" s="5" t="s">
        <v>397</v>
      </c>
      <c r="C110" s="5" t="s">
        <v>357</v>
      </c>
      <c r="D110" s="5" t="s">
        <v>68</v>
      </c>
      <c r="E110" s="5" t="s">
        <v>398</v>
      </c>
      <c r="F110" s="5"/>
      <c r="G110" s="5"/>
      <c r="H110" s="5" t="s">
        <v>399</v>
      </c>
      <c r="I110" s="5" t="s">
        <v>400</v>
      </c>
      <c r="J110" s="5" t="s">
        <v>401</v>
      </c>
    </row>
    <row r="111" customFormat="false" ht="23.85" hidden="false" customHeight="false" outlineLevel="0" collapsed="false">
      <c r="A111" s="5" t="s">
        <v>31</v>
      </c>
      <c r="B111" s="5" t="s">
        <v>108</v>
      </c>
      <c r="C111" s="5" t="s">
        <v>109</v>
      </c>
      <c r="D111" s="5" t="s">
        <v>68</v>
      </c>
      <c r="E111" s="5" t="s">
        <v>110</v>
      </c>
      <c r="F111" s="5"/>
      <c r="G111" s="5"/>
      <c r="H111" s="5"/>
      <c r="I111" s="5" t="s">
        <v>111</v>
      </c>
      <c r="J111" s="5" t="s">
        <v>233</v>
      </c>
    </row>
    <row r="112" customFormat="false" ht="15" hidden="false" customHeight="false" outlineLevel="0" collapsed="false">
      <c r="A112" s="5" t="s">
        <v>34</v>
      </c>
      <c r="B112" s="8" t="s">
        <v>361</v>
      </c>
      <c r="C112" s="5" t="s">
        <v>102</v>
      </c>
      <c r="D112" s="5" t="s">
        <v>68</v>
      </c>
      <c r="E112" s="5"/>
      <c r="F112" s="5" t="s">
        <v>120</v>
      </c>
      <c r="G112" s="5" t="s">
        <v>362</v>
      </c>
      <c r="H112" s="5" t="s">
        <v>122</v>
      </c>
      <c r="I112" s="5" t="s">
        <v>402</v>
      </c>
      <c r="J112" s="5" t="s">
        <v>364</v>
      </c>
    </row>
    <row r="113" customFormat="false" ht="15" hidden="false" customHeight="false" outlineLevel="0" collapsed="false">
      <c r="A113" s="5" t="s">
        <v>34</v>
      </c>
      <c r="B113" s="8" t="s">
        <v>403</v>
      </c>
      <c r="C113" s="5" t="s">
        <v>102</v>
      </c>
      <c r="D113" s="5" t="s">
        <v>68</v>
      </c>
      <c r="E113" s="5"/>
      <c r="F113" s="5" t="s">
        <v>120</v>
      </c>
      <c r="G113" s="5" t="s">
        <v>121</v>
      </c>
      <c r="H113" s="5" t="s">
        <v>122</v>
      </c>
      <c r="I113" s="5" t="s">
        <v>404</v>
      </c>
      <c r="J113" s="5" t="s">
        <v>189</v>
      </c>
    </row>
    <row r="114" customFormat="false" ht="15" hidden="false" customHeight="false" outlineLevel="0" collapsed="false">
      <c r="A114" s="5" t="s">
        <v>34</v>
      </c>
      <c r="B114" s="5" t="s">
        <v>405</v>
      </c>
      <c r="C114" s="5" t="s">
        <v>102</v>
      </c>
      <c r="D114" s="5" t="s">
        <v>68</v>
      </c>
      <c r="E114" s="5"/>
      <c r="F114" s="5"/>
      <c r="G114" s="5"/>
      <c r="H114" s="5" t="s">
        <v>406</v>
      </c>
      <c r="I114" s="5" t="s">
        <v>407</v>
      </c>
      <c r="J114" s="5" t="s">
        <v>107</v>
      </c>
    </row>
    <row r="115" customFormat="false" ht="23.85" hidden="false" customHeight="false" outlineLevel="0" collapsed="false">
      <c r="A115" s="5" t="s">
        <v>34</v>
      </c>
      <c r="B115" s="5" t="s">
        <v>408</v>
      </c>
      <c r="C115" s="5" t="s">
        <v>144</v>
      </c>
      <c r="D115" s="5" t="s">
        <v>68</v>
      </c>
      <c r="E115" s="5" t="s">
        <v>145</v>
      </c>
      <c r="F115" s="5"/>
      <c r="G115" s="5"/>
      <c r="H115" s="5" t="s">
        <v>409</v>
      </c>
      <c r="I115" s="5" t="s">
        <v>410</v>
      </c>
      <c r="J115" s="5" t="s">
        <v>411</v>
      </c>
    </row>
    <row r="116" customFormat="false" ht="15" hidden="false" customHeight="false" outlineLevel="0" collapsed="false">
      <c r="A116" s="5" t="s">
        <v>34</v>
      </c>
      <c r="B116" s="5" t="s">
        <v>412</v>
      </c>
      <c r="C116" s="5" t="s">
        <v>74</v>
      </c>
      <c r="D116" s="5" t="s">
        <v>92</v>
      </c>
      <c r="E116" s="5"/>
      <c r="F116" s="5"/>
      <c r="G116" s="5"/>
      <c r="H116" s="5"/>
      <c r="I116" s="5" t="s">
        <v>413</v>
      </c>
      <c r="J116" s="5" t="s">
        <v>414</v>
      </c>
    </row>
    <row r="117" customFormat="false" ht="15" hidden="false" customHeight="false" outlineLevel="0" collapsed="false">
      <c r="A117" s="5" t="s">
        <v>34</v>
      </c>
      <c r="B117" s="5" t="s">
        <v>415</v>
      </c>
      <c r="C117" s="5" t="s">
        <v>74</v>
      </c>
      <c r="D117" s="5" t="s">
        <v>92</v>
      </c>
      <c r="E117" s="5"/>
      <c r="F117" s="5"/>
      <c r="G117" s="5"/>
      <c r="H117" s="5"/>
      <c r="I117" s="5" t="s">
        <v>416</v>
      </c>
      <c r="J117" s="5" t="s">
        <v>417</v>
      </c>
    </row>
    <row r="118" customFormat="false" ht="23.85" hidden="false" customHeight="false" outlineLevel="0" collapsed="false">
      <c r="A118" s="5" t="s">
        <v>34</v>
      </c>
      <c r="B118" s="5" t="s">
        <v>108</v>
      </c>
      <c r="C118" s="5" t="s">
        <v>109</v>
      </c>
      <c r="D118" s="5" t="s">
        <v>68</v>
      </c>
      <c r="E118" s="5" t="s">
        <v>110</v>
      </c>
      <c r="F118" s="5"/>
      <c r="G118" s="5"/>
      <c r="H118" s="5"/>
      <c r="I118" s="5" t="s">
        <v>418</v>
      </c>
      <c r="J118" s="5" t="s">
        <v>419</v>
      </c>
    </row>
    <row r="119" customFormat="false" ht="15" hidden="false" customHeight="false" outlineLevel="0" collapsed="false">
      <c r="A119" s="5" t="s">
        <v>36</v>
      </c>
      <c r="B119" s="8" t="s">
        <v>361</v>
      </c>
      <c r="C119" s="5" t="s">
        <v>102</v>
      </c>
      <c r="D119" s="5" t="s">
        <v>68</v>
      </c>
      <c r="E119" s="5"/>
      <c r="F119" s="5" t="s">
        <v>120</v>
      </c>
      <c r="G119" s="5" t="s">
        <v>362</v>
      </c>
      <c r="H119" s="5" t="s">
        <v>122</v>
      </c>
      <c r="I119" s="5" t="s">
        <v>420</v>
      </c>
      <c r="J119" s="5" t="s">
        <v>364</v>
      </c>
    </row>
    <row r="120" customFormat="false" ht="15" hidden="false" customHeight="false" outlineLevel="0" collapsed="false">
      <c r="A120" s="5" t="s">
        <v>36</v>
      </c>
      <c r="B120" s="9" t="s">
        <v>403</v>
      </c>
      <c r="C120" s="5" t="s">
        <v>102</v>
      </c>
      <c r="D120" s="5" t="s">
        <v>68</v>
      </c>
      <c r="E120" s="5"/>
      <c r="F120" s="5" t="s">
        <v>103</v>
      </c>
      <c r="G120" s="5" t="s">
        <v>121</v>
      </c>
      <c r="H120" s="5" t="s">
        <v>122</v>
      </c>
      <c r="I120" s="5" t="s">
        <v>421</v>
      </c>
      <c r="J120" s="5" t="s">
        <v>189</v>
      </c>
    </row>
    <row r="121" customFormat="false" ht="15" hidden="false" customHeight="false" outlineLevel="0" collapsed="false">
      <c r="A121" s="5" t="s">
        <v>36</v>
      </c>
      <c r="B121" s="5" t="s">
        <v>153</v>
      </c>
      <c r="C121" s="5" t="s">
        <v>140</v>
      </c>
      <c r="D121" s="5" t="s">
        <v>68</v>
      </c>
      <c r="E121" s="5"/>
      <c r="F121" s="5"/>
      <c r="G121" s="5"/>
      <c r="H121" s="5" t="s">
        <v>422</v>
      </c>
      <c r="I121" s="5" t="s">
        <v>423</v>
      </c>
      <c r="J121" s="5" t="s">
        <v>424</v>
      </c>
    </row>
    <row r="122" customFormat="false" ht="15" hidden="false" customHeight="false" outlineLevel="0" collapsed="false">
      <c r="A122" s="5" t="s">
        <v>36</v>
      </c>
      <c r="B122" s="5" t="s">
        <v>425</v>
      </c>
      <c r="C122" s="5" t="s">
        <v>140</v>
      </c>
      <c r="D122" s="5" t="s">
        <v>92</v>
      </c>
      <c r="E122" s="5"/>
      <c r="F122" s="5"/>
      <c r="G122" s="5"/>
      <c r="H122" s="5" t="s">
        <v>422</v>
      </c>
      <c r="I122" s="5" t="s">
        <v>426</v>
      </c>
      <c r="J122" s="5" t="s">
        <v>427</v>
      </c>
    </row>
    <row r="123" customFormat="false" ht="15" hidden="false" customHeight="false" outlineLevel="0" collapsed="false">
      <c r="A123" s="5" t="s">
        <v>36</v>
      </c>
      <c r="B123" s="5" t="s">
        <v>428</v>
      </c>
      <c r="C123" s="5" t="s">
        <v>102</v>
      </c>
      <c r="D123" s="5" t="s">
        <v>92</v>
      </c>
      <c r="E123" s="5"/>
      <c r="F123" s="5"/>
      <c r="G123" s="5"/>
      <c r="H123" s="5" t="s">
        <v>429</v>
      </c>
      <c r="I123" s="5" t="s">
        <v>430</v>
      </c>
      <c r="J123" s="5" t="s">
        <v>251</v>
      </c>
    </row>
    <row r="124" customFormat="false" ht="15" hidden="false" customHeight="false" outlineLevel="0" collapsed="false">
      <c r="A124" s="5" t="s">
        <v>36</v>
      </c>
      <c r="B124" s="5" t="s">
        <v>431</v>
      </c>
      <c r="C124" s="5" t="s">
        <v>286</v>
      </c>
      <c r="D124" s="5" t="s">
        <v>68</v>
      </c>
      <c r="E124" s="5" t="s">
        <v>287</v>
      </c>
      <c r="F124" s="5"/>
      <c r="G124" s="5"/>
      <c r="H124" s="5"/>
      <c r="I124" s="5" t="s">
        <v>432</v>
      </c>
      <c r="J124" s="5" t="s">
        <v>287</v>
      </c>
    </row>
    <row r="125" customFormat="false" ht="15" hidden="false" customHeight="false" outlineLevel="0" collapsed="false">
      <c r="A125" s="5" t="s">
        <v>36</v>
      </c>
      <c r="B125" s="5" t="s">
        <v>157</v>
      </c>
      <c r="C125" s="5" t="s">
        <v>144</v>
      </c>
      <c r="D125" s="5" t="s">
        <v>68</v>
      </c>
      <c r="E125" s="5" t="s">
        <v>145</v>
      </c>
      <c r="F125" s="5"/>
      <c r="G125" s="5"/>
      <c r="H125" s="5" t="s">
        <v>433</v>
      </c>
      <c r="I125" s="5" t="s">
        <v>434</v>
      </c>
      <c r="J125" s="5" t="s">
        <v>435</v>
      </c>
    </row>
    <row r="126" customFormat="false" ht="15" hidden="false" customHeight="false" outlineLevel="0" collapsed="false">
      <c r="A126" s="5" t="s">
        <v>36</v>
      </c>
      <c r="B126" s="5" t="s">
        <v>412</v>
      </c>
      <c r="C126" s="5" t="s">
        <v>74</v>
      </c>
      <c r="D126" s="5" t="s">
        <v>92</v>
      </c>
      <c r="E126" s="5"/>
      <c r="F126" s="5"/>
      <c r="G126" s="5"/>
      <c r="H126" s="5"/>
      <c r="I126" s="5" t="s">
        <v>413</v>
      </c>
      <c r="J126" s="5" t="s">
        <v>436</v>
      </c>
    </row>
    <row r="127" customFormat="false" ht="15" hidden="false" customHeight="false" outlineLevel="0" collapsed="false">
      <c r="A127" s="5" t="s">
        <v>36</v>
      </c>
      <c r="B127" s="5" t="s">
        <v>415</v>
      </c>
      <c r="C127" s="5" t="s">
        <v>74</v>
      </c>
      <c r="D127" s="5" t="s">
        <v>92</v>
      </c>
      <c r="E127" s="5"/>
      <c r="F127" s="5"/>
      <c r="G127" s="5"/>
      <c r="H127" s="5"/>
      <c r="I127" s="5" t="s">
        <v>416</v>
      </c>
      <c r="J127" s="5" t="s">
        <v>437</v>
      </c>
    </row>
    <row r="128" customFormat="false" ht="15" hidden="false" customHeight="false" outlineLevel="0" collapsed="false">
      <c r="A128" s="5" t="s">
        <v>36</v>
      </c>
      <c r="B128" s="9" t="s">
        <v>101</v>
      </c>
      <c r="C128" s="5" t="s">
        <v>102</v>
      </c>
      <c r="D128" s="5" t="s">
        <v>92</v>
      </c>
      <c r="E128" s="5"/>
      <c r="F128" s="5" t="s">
        <v>103</v>
      </c>
      <c r="G128" s="5" t="s">
        <v>104</v>
      </c>
      <c r="H128" s="5" t="s">
        <v>105</v>
      </c>
      <c r="I128" s="5" t="s">
        <v>438</v>
      </c>
      <c r="J128" s="5" t="s">
        <v>267</v>
      </c>
    </row>
    <row r="129" customFormat="false" ht="23.85" hidden="false" customHeight="false" outlineLevel="0" collapsed="false">
      <c r="A129" s="5" t="s">
        <v>36</v>
      </c>
      <c r="B129" s="5" t="s">
        <v>108</v>
      </c>
      <c r="C129" s="5" t="s">
        <v>109</v>
      </c>
      <c r="D129" s="5" t="s">
        <v>68</v>
      </c>
      <c r="E129" s="5" t="s">
        <v>110</v>
      </c>
      <c r="F129" s="5"/>
      <c r="G129" s="5"/>
      <c r="H129" s="5"/>
      <c r="I129" s="5" t="s">
        <v>418</v>
      </c>
      <c r="J129" s="5" t="s">
        <v>439</v>
      </c>
    </row>
    <row r="130" customFormat="false" ht="15" hidden="false" customHeight="false" outlineLevel="0" collapsed="false">
      <c r="A130" s="5" t="s">
        <v>38</v>
      </c>
      <c r="B130" s="8" t="s">
        <v>66</v>
      </c>
      <c r="C130" s="5" t="s">
        <v>67</v>
      </c>
      <c r="D130" s="5" t="s">
        <v>68</v>
      </c>
      <c r="E130" s="5" t="s">
        <v>69</v>
      </c>
      <c r="F130" s="5" t="s">
        <v>70</v>
      </c>
      <c r="G130" s="5"/>
      <c r="H130" s="5"/>
      <c r="I130" s="5" t="s">
        <v>440</v>
      </c>
      <c r="J130" s="5" t="s">
        <v>231</v>
      </c>
    </row>
    <row r="131" customFormat="false" ht="23.85" hidden="false" customHeight="false" outlineLevel="0" collapsed="false">
      <c r="A131" s="5" t="s">
        <v>38</v>
      </c>
      <c r="B131" s="9" t="s">
        <v>361</v>
      </c>
      <c r="C131" s="5" t="s">
        <v>102</v>
      </c>
      <c r="D131" s="5" t="s">
        <v>68</v>
      </c>
      <c r="E131" s="5"/>
      <c r="F131" s="5" t="s">
        <v>103</v>
      </c>
      <c r="G131" s="5" t="s">
        <v>362</v>
      </c>
      <c r="H131" s="5" t="s">
        <v>441</v>
      </c>
      <c r="I131" s="5" t="s">
        <v>442</v>
      </c>
      <c r="J131" s="5" t="s">
        <v>364</v>
      </c>
    </row>
    <row r="132" customFormat="false" ht="15" hidden="false" customHeight="false" outlineLevel="0" collapsed="false">
      <c r="A132" s="5" t="s">
        <v>38</v>
      </c>
      <c r="B132" s="9" t="s">
        <v>443</v>
      </c>
      <c r="C132" s="5" t="s">
        <v>102</v>
      </c>
      <c r="D132" s="5" t="s">
        <v>92</v>
      </c>
      <c r="E132" s="5"/>
      <c r="F132" s="5" t="s">
        <v>103</v>
      </c>
      <c r="G132" s="5" t="s">
        <v>121</v>
      </c>
      <c r="H132" s="5" t="s">
        <v>105</v>
      </c>
      <c r="I132" s="5" t="s">
        <v>444</v>
      </c>
      <c r="J132" s="5" t="s">
        <v>72</v>
      </c>
    </row>
    <row r="133" customFormat="false" ht="23.85" hidden="false" customHeight="false" outlineLevel="0" collapsed="false">
      <c r="A133" s="5" t="s">
        <v>38</v>
      </c>
      <c r="B133" s="5" t="s">
        <v>445</v>
      </c>
      <c r="C133" s="5" t="s">
        <v>74</v>
      </c>
      <c r="D133" s="5" t="s">
        <v>68</v>
      </c>
      <c r="E133" s="5"/>
      <c r="F133" s="5"/>
      <c r="G133" s="5"/>
      <c r="H133" s="5" t="s">
        <v>446</v>
      </c>
      <c r="I133" s="5" t="s">
        <v>447</v>
      </c>
      <c r="J133" s="5" t="s">
        <v>448</v>
      </c>
    </row>
    <row r="134" customFormat="false" ht="15" hidden="false" customHeight="false" outlineLevel="0" collapsed="false">
      <c r="A134" s="5" t="s">
        <v>38</v>
      </c>
      <c r="B134" s="5" t="s">
        <v>394</v>
      </c>
      <c r="C134" s="5" t="s">
        <v>74</v>
      </c>
      <c r="D134" s="5" t="s">
        <v>68</v>
      </c>
      <c r="E134" s="5" t="s">
        <v>449</v>
      </c>
      <c r="F134" s="5"/>
      <c r="G134" s="5"/>
      <c r="H134" s="5" t="s">
        <v>450</v>
      </c>
      <c r="I134" s="5" t="s">
        <v>451</v>
      </c>
      <c r="J134" s="5" t="s">
        <v>452</v>
      </c>
    </row>
    <row r="135" customFormat="false" ht="15" hidden="false" customHeight="false" outlineLevel="0" collapsed="false">
      <c r="A135" s="5" t="s">
        <v>38</v>
      </c>
      <c r="B135" s="5" t="s">
        <v>453</v>
      </c>
      <c r="C135" s="5" t="s">
        <v>357</v>
      </c>
      <c r="D135" s="5" t="s">
        <v>68</v>
      </c>
      <c r="E135" s="5" t="s">
        <v>398</v>
      </c>
      <c r="F135" s="5"/>
      <c r="G135" s="5"/>
      <c r="H135" s="5" t="s">
        <v>358</v>
      </c>
      <c r="I135" s="5" t="s">
        <v>454</v>
      </c>
      <c r="J135" s="5" t="s">
        <v>455</v>
      </c>
    </row>
    <row r="136" customFormat="false" ht="23.85" hidden="false" customHeight="false" outlineLevel="0" collapsed="false">
      <c r="A136" s="5" t="s">
        <v>38</v>
      </c>
      <c r="B136" s="5" t="s">
        <v>108</v>
      </c>
      <c r="C136" s="5" t="s">
        <v>109</v>
      </c>
      <c r="D136" s="5" t="s">
        <v>68</v>
      </c>
      <c r="E136" s="5" t="s">
        <v>110</v>
      </c>
      <c r="F136" s="5"/>
      <c r="G136" s="5"/>
      <c r="H136" s="5"/>
      <c r="I136" s="5" t="s">
        <v>456</v>
      </c>
      <c r="J136" s="5" t="s">
        <v>457</v>
      </c>
    </row>
    <row r="137" customFormat="false" ht="23.85" hidden="false" customHeight="false" outlineLevel="0" collapsed="false">
      <c r="A137" s="5" t="s">
        <v>38</v>
      </c>
      <c r="B137" s="5" t="s">
        <v>458</v>
      </c>
      <c r="C137" s="5" t="s">
        <v>109</v>
      </c>
      <c r="D137" s="5" t="s">
        <v>92</v>
      </c>
      <c r="E137" s="5"/>
      <c r="F137" s="5"/>
      <c r="G137" s="5"/>
      <c r="H137" s="5"/>
      <c r="I137" s="5" t="s">
        <v>459</v>
      </c>
      <c r="J137" s="5" t="s">
        <v>115</v>
      </c>
    </row>
    <row r="138" customFormat="false" ht="15" hidden="false" customHeight="false" outlineLevel="0" collapsed="false">
      <c r="A138" s="5" t="s">
        <v>40</v>
      </c>
      <c r="B138" s="8" t="s">
        <v>66</v>
      </c>
      <c r="C138" s="5" t="s">
        <v>67</v>
      </c>
      <c r="D138" s="5" t="s">
        <v>68</v>
      </c>
      <c r="E138" s="5" t="s">
        <v>69</v>
      </c>
      <c r="F138" s="5" t="s">
        <v>70</v>
      </c>
      <c r="G138" s="5"/>
      <c r="H138" s="5"/>
      <c r="I138" s="5" t="s">
        <v>460</v>
      </c>
      <c r="J138" s="5" t="s">
        <v>461</v>
      </c>
    </row>
    <row r="139" customFormat="false" ht="23.85" hidden="false" customHeight="false" outlineLevel="0" collapsed="false">
      <c r="A139" s="5" t="s">
        <v>40</v>
      </c>
      <c r="B139" s="9" t="s">
        <v>291</v>
      </c>
      <c r="C139" s="5" t="s">
        <v>102</v>
      </c>
      <c r="D139" s="5" t="s">
        <v>68</v>
      </c>
      <c r="E139" s="5"/>
      <c r="F139" s="5" t="s">
        <v>103</v>
      </c>
      <c r="G139" s="5" t="s">
        <v>292</v>
      </c>
      <c r="H139" s="5" t="s">
        <v>462</v>
      </c>
      <c r="I139" s="5" t="s">
        <v>463</v>
      </c>
      <c r="J139" s="5" t="s">
        <v>251</v>
      </c>
    </row>
    <row r="140" customFormat="false" ht="15" hidden="false" customHeight="false" outlineLevel="0" collapsed="false">
      <c r="A140" s="5" t="s">
        <v>40</v>
      </c>
      <c r="B140" s="9" t="s">
        <v>252</v>
      </c>
      <c r="C140" s="5" t="s">
        <v>102</v>
      </c>
      <c r="D140" s="5" t="s">
        <v>68</v>
      </c>
      <c r="E140" s="5"/>
      <c r="F140" s="5" t="s">
        <v>103</v>
      </c>
      <c r="G140" s="5" t="s">
        <v>121</v>
      </c>
      <c r="H140" s="5" t="s">
        <v>122</v>
      </c>
      <c r="I140" s="5" t="s">
        <v>464</v>
      </c>
      <c r="J140" s="5" t="s">
        <v>72</v>
      </c>
    </row>
    <row r="141" customFormat="false" ht="15" hidden="false" customHeight="false" outlineLevel="0" collapsed="false">
      <c r="A141" s="5" t="s">
        <v>40</v>
      </c>
      <c r="B141" s="5" t="s">
        <v>465</v>
      </c>
      <c r="C141" s="5" t="s">
        <v>140</v>
      </c>
      <c r="D141" s="5" t="s">
        <v>68</v>
      </c>
      <c r="E141" s="5"/>
      <c r="F141" s="5"/>
      <c r="G141" s="5"/>
      <c r="H141" s="5" t="s">
        <v>466</v>
      </c>
      <c r="I141" s="5" t="s">
        <v>467</v>
      </c>
      <c r="J141" s="5" t="s">
        <v>274</v>
      </c>
    </row>
    <row r="142" customFormat="false" ht="15" hidden="false" customHeight="false" outlineLevel="0" collapsed="false">
      <c r="A142" s="5" t="s">
        <v>40</v>
      </c>
      <c r="B142" s="5" t="s">
        <v>468</v>
      </c>
      <c r="C142" s="5" t="s">
        <v>140</v>
      </c>
      <c r="D142" s="5" t="s">
        <v>68</v>
      </c>
      <c r="E142" s="5" t="s">
        <v>469</v>
      </c>
      <c r="F142" s="5"/>
      <c r="G142" s="5"/>
      <c r="H142" s="5" t="s">
        <v>470</v>
      </c>
      <c r="I142" s="5" t="s">
        <v>471</v>
      </c>
      <c r="J142" s="5" t="s">
        <v>472</v>
      </c>
    </row>
    <row r="143" customFormat="false" ht="15" hidden="false" customHeight="false" outlineLevel="0" collapsed="false">
      <c r="A143" s="5" t="s">
        <v>40</v>
      </c>
      <c r="B143" s="5" t="s">
        <v>264</v>
      </c>
      <c r="C143" s="5" t="s">
        <v>102</v>
      </c>
      <c r="D143" s="5" t="s">
        <v>68</v>
      </c>
      <c r="E143" s="5"/>
      <c r="F143" s="5"/>
      <c r="G143" s="5"/>
      <c r="H143" s="5" t="s">
        <v>473</v>
      </c>
      <c r="I143" s="5" t="s">
        <v>474</v>
      </c>
      <c r="J143" s="5" t="s">
        <v>219</v>
      </c>
    </row>
    <row r="144" customFormat="false" ht="23.85" hidden="false" customHeight="false" outlineLevel="0" collapsed="false">
      <c r="A144" s="5" t="s">
        <v>40</v>
      </c>
      <c r="B144" s="5" t="s">
        <v>391</v>
      </c>
      <c r="C144" s="5" t="s">
        <v>74</v>
      </c>
      <c r="D144" s="5" t="s">
        <v>68</v>
      </c>
      <c r="E144" s="5" t="s">
        <v>475</v>
      </c>
      <c r="F144" s="5"/>
      <c r="G144" s="5"/>
      <c r="H144" s="5"/>
      <c r="I144" s="5" t="s">
        <v>392</v>
      </c>
      <c r="J144" s="5" t="s">
        <v>393</v>
      </c>
    </row>
    <row r="145" customFormat="false" ht="23.85" hidden="false" customHeight="false" outlineLevel="0" collapsed="false">
      <c r="A145" s="5" t="s">
        <v>40</v>
      </c>
      <c r="B145" s="5" t="s">
        <v>476</v>
      </c>
      <c r="C145" s="5" t="s">
        <v>109</v>
      </c>
      <c r="D145" s="5" t="s">
        <v>68</v>
      </c>
      <c r="E145" s="5"/>
      <c r="F145" s="5"/>
      <c r="G145" s="5"/>
      <c r="H145" s="5" t="s">
        <v>477</v>
      </c>
      <c r="I145" s="5" t="s">
        <v>478</v>
      </c>
      <c r="J145" s="5" t="s">
        <v>479</v>
      </c>
    </row>
    <row r="146" customFormat="false" ht="23.85" hidden="false" customHeight="false" outlineLevel="0" collapsed="false">
      <c r="A146" s="5" t="s">
        <v>40</v>
      </c>
      <c r="B146" s="5" t="s">
        <v>394</v>
      </c>
      <c r="C146" s="5" t="s">
        <v>74</v>
      </c>
      <c r="D146" s="5" t="s">
        <v>68</v>
      </c>
      <c r="E146" s="5" t="s">
        <v>449</v>
      </c>
      <c r="F146" s="5"/>
      <c r="G146" s="5"/>
      <c r="H146" s="5" t="s">
        <v>480</v>
      </c>
      <c r="I146" s="5" t="s">
        <v>481</v>
      </c>
      <c r="J146" s="5" t="s">
        <v>452</v>
      </c>
    </row>
    <row r="147" customFormat="false" ht="15" hidden="false" customHeight="false" outlineLevel="0" collapsed="false">
      <c r="A147" s="5" t="s">
        <v>40</v>
      </c>
      <c r="B147" s="5" t="s">
        <v>482</v>
      </c>
      <c r="C147" s="5" t="s">
        <v>102</v>
      </c>
      <c r="D147" s="5" t="s">
        <v>92</v>
      </c>
      <c r="E147" s="5"/>
      <c r="F147" s="5"/>
      <c r="G147" s="5" t="s">
        <v>483</v>
      </c>
      <c r="H147" s="5"/>
      <c r="I147" s="5" t="s">
        <v>484</v>
      </c>
      <c r="J147" s="5" t="s">
        <v>115</v>
      </c>
    </row>
    <row r="148" customFormat="false" ht="15" hidden="false" customHeight="false" outlineLevel="0" collapsed="false">
      <c r="A148" s="5" t="s">
        <v>40</v>
      </c>
      <c r="B148" s="9" t="s">
        <v>361</v>
      </c>
      <c r="C148" s="5" t="s">
        <v>102</v>
      </c>
      <c r="D148" s="5" t="s">
        <v>92</v>
      </c>
      <c r="E148" s="5"/>
      <c r="F148" s="5" t="s">
        <v>103</v>
      </c>
      <c r="G148" s="5" t="s">
        <v>362</v>
      </c>
      <c r="H148" s="5" t="s">
        <v>105</v>
      </c>
      <c r="I148" s="5" t="s">
        <v>485</v>
      </c>
      <c r="J148" s="5" t="s">
        <v>115</v>
      </c>
    </row>
    <row r="149" customFormat="false" ht="15" hidden="false" customHeight="false" outlineLevel="0" collapsed="false">
      <c r="A149" s="5" t="s">
        <v>40</v>
      </c>
      <c r="B149" s="5" t="s">
        <v>486</v>
      </c>
      <c r="C149" s="5" t="s">
        <v>286</v>
      </c>
      <c r="D149" s="5" t="s">
        <v>68</v>
      </c>
      <c r="E149" s="5" t="s">
        <v>352</v>
      </c>
      <c r="F149" s="5"/>
      <c r="G149" s="5"/>
      <c r="H149" s="5"/>
      <c r="I149" s="5" t="s">
        <v>487</v>
      </c>
      <c r="J149" s="5" t="s">
        <v>352</v>
      </c>
    </row>
    <row r="150" customFormat="false" ht="23.85" hidden="false" customHeight="false" outlineLevel="0" collapsed="false">
      <c r="A150" s="5" t="s">
        <v>40</v>
      </c>
      <c r="B150" s="5" t="s">
        <v>108</v>
      </c>
      <c r="C150" s="5" t="s">
        <v>109</v>
      </c>
      <c r="D150" s="5" t="s">
        <v>68</v>
      </c>
      <c r="E150" s="5" t="s">
        <v>110</v>
      </c>
      <c r="F150" s="5"/>
      <c r="G150" s="5"/>
      <c r="H150" s="5"/>
      <c r="I150" s="5" t="s">
        <v>488</v>
      </c>
      <c r="J150" s="5" t="s">
        <v>233</v>
      </c>
    </row>
    <row r="151" customFormat="false" ht="23.85" hidden="false" customHeight="false" outlineLevel="0" collapsed="false">
      <c r="A151" s="5" t="s">
        <v>40</v>
      </c>
      <c r="B151" s="5" t="s">
        <v>489</v>
      </c>
      <c r="C151" s="5" t="s">
        <v>109</v>
      </c>
      <c r="D151" s="5" t="s">
        <v>92</v>
      </c>
      <c r="E151" s="5"/>
      <c r="F151" s="5"/>
      <c r="G151" s="5"/>
      <c r="H151" s="5"/>
      <c r="I151" s="5" t="s">
        <v>490</v>
      </c>
      <c r="J151" s="5" t="s">
        <v>115</v>
      </c>
    </row>
    <row r="152" customFormat="false" ht="15" hidden="false" customHeight="false" outlineLevel="0" collapsed="false">
      <c r="A152" s="5" t="s">
        <v>43</v>
      </c>
      <c r="B152" s="8" t="s">
        <v>66</v>
      </c>
      <c r="C152" s="5" t="s">
        <v>67</v>
      </c>
      <c r="D152" s="5" t="s">
        <v>68</v>
      </c>
      <c r="E152" s="5" t="s">
        <v>69</v>
      </c>
      <c r="F152" s="5" t="s">
        <v>70</v>
      </c>
      <c r="G152" s="5"/>
      <c r="H152" s="5"/>
      <c r="I152" s="5" t="s">
        <v>491</v>
      </c>
      <c r="J152" s="5" t="s">
        <v>492</v>
      </c>
    </row>
    <row r="153" customFormat="false" ht="23.85" hidden="false" customHeight="false" outlineLevel="0" collapsed="false">
      <c r="A153" s="5" t="s">
        <v>43</v>
      </c>
      <c r="B153" s="9" t="s">
        <v>493</v>
      </c>
      <c r="C153" s="5" t="s">
        <v>102</v>
      </c>
      <c r="D153" s="5" t="s">
        <v>68</v>
      </c>
      <c r="E153" s="5"/>
      <c r="F153" s="5" t="s">
        <v>103</v>
      </c>
      <c r="G153" s="5" t="s">
        <v>494</v>
      </c>
      <c r="H153" s="5" t="s">
        <v>495</v>
      </c>
      <c r="I153" s="5" t="s">
        <v>496</v>
      </c>
      <c r="J153" s="5" t="s">
        <v>461</v>
      </c>
    </row>
    <row r="154" customFormat="false" ht="15" hidden="false" customHeight="false" outlineLevel="0" collapsed="false">
      <c r="A154" s="5" t="s">
        <v>43</v>
      </c>
      <c r="B154" s="9" t="s">
        <v>294</v>
      </c>
      <c r="C154" s="5" t="s">
        <v>102</v>
      </c>
      <c r="D154" s="5" t="s">
        <v>68</v>
      </c>
      <c r="E154" s="5"/>
      <c r="F154" s="5" t="s">
        <v>103</v>
      </c>
      <c r="G154" s="5" t="s">
        <v>121</v>
      </c>
      <c r="H154" s="5" t="s">
        <v>122</v>
      </c>
      <c r="I154" s="5" t="s">
        <v>497</v>
      </c>
      <c r="J154" s="5" t="s">
        <v>189</v>
      </c>
    </row>
    <row r="155" customFormat="false" ht="23.85" hidden="false" customHeight="false" outlineLevel="0" collapsed="false">
      <c r="A155" s="5" t="s">
        <v>43</v>
      </c>
      <c r="B155" s="5" t="s">
        <v>271</v>
      </c>
      <c r="C155" s="5" t="s">
        <v>140</v>
      </c>
      <c r="D155" s="5" t="s">
        <v>68</v>
      </c>
      <c r="E155" s="5"/>
      <c r="F155" s="5"/>
      <c r="G155" s="5"/>
      <c r="H155" s="5" t="s">
        <v>498</v>
      </c>
      <c r="I155" s="5" t="s">
        <v>499</v>
      </c>
      <c r="J155" s="5" t="s">
        <v>500</v>
      </c>
    </row>
    <row r="156" customFormat="false" ht="15" hidden="false" customHeight="false" outlineLevel="0" collapsed="false">
      <c r="A156" s="5" t="s">
        <v>43</v>
      </c>
      <c r="B156" s="5" t="s">
        <v>394</v>
      </c>
      <c r="C156" s="5" t="s">
        <v>74</v>
      </c>
      <c r="D156" s="5" t="s">
        <v>68</v>
      </c>
      <c r="E156" s="5" t="s">
        <v>501</v>
      </c>
      <c r="F156" s="5"/>
      <c r="G156" s="5"/>
      <c r="H156" s="5" t="s">
        <v>502</v>
      </c>
      <c r="I156" s="5" t="s">
        <v>503</v>
      </c>
      <c r="J156" s="5" t="s">
        <v>285</v>
      </c>
    </row>
    <row r="157" customFormat="false" ht="23.85" hidden="false" customHeight="false" outlineLevel="0" collapsed="false">
      <c r="A157" s="5" t="s">
        <v>43</v>
      </c>
      <c r="B157" s="5" t="s">
        <v>108</v>
      </c>
      <c r="C157" s="5" t="s">
        <v>109</v>
      </c>
      <c r="D157" s="5" t="s">
        <v>68</v>
      </c>
      <c r="E157" s="5" t="s">
        <v>110</v>
      </c>
      <c r="F157" s="5"/>
      <c r="G157" s="5"/>
      <c r="H157" s="5"/>
      <c r="I157" s="5" t="s">
        <v>504</v>
      </c>
      <c r="J157" s="5" t="s">
        <v>505</v>
      </c>
    </row>
    <row r="158" customFormat="false" ht="15" hidden="false" customHeight="false" outlineLevel="0" collapsed="false">
      <c r="A158" s="5" t="s">
        <v>45</v>
      </c>
      <c r="B158" s="8" t="s">
        <v>66</v>
      </c>
      <c r="C158" s="5" t="s">
        <v>67</v>
      </c>
      <c r="D158" s="5" t="s">
        <v>68</v>
      </c>
      <c r="E158" s="5" t="s">
        <v>69</v>
      </c>
      <c r="F158" s="5" t="s">
        <v>70</v>
      </c>
      <c r="G158" s="5"/>
      <c r="H158" s="5" t="s">
        <v>506</v>
      </c>
      <c r="I158" s="5" t="s">
        <v>507</v>
      </c>
      <c r="J158" s="5" t="s">
        <v>508</v>
      </c>
    </row>
    <row r="159" customFormat="false" ht="15" hidden="false" customHeight="false" outlineLevel="0" collapsed="false">
      <c r="A159" s="5" t="s">
        <v>45</v>
      </c>
      <c r="B159" s="9" t="s">
        <v>119</v>
      </c>
      <c r="C159" s="5" t="s">
        <v>102</v>
      </c>
      <c r="D159" s="5" t="s">
        <v>68</v>
      </c>
      <c r="E159" s="5"/>
      <c r="F159" s="5" t="s">
        <v>103</v>
      </c>
      <c r="G159" s="5" t="s">
        <v>121</v>
      </c>
      <c r="H159" s="5" t="s">
        <v>122</v>
      </c>
      <c r="I159" s="5" t="s">
        <v>509</v>
      </c>
      <c r="J159" s="5" t="s">
        <v>72</v>
      </c>
    </row>
    <row r="160" customFormat="false" ht="23.85" hidden="false" customHeight="false" outlineLevel="0" collapsed="false">
      <c r="A160" s="5" t="s">
        <v>45</v>
      </c>
      <c r="B160" s="5" t="s">
        <v>199</v>
      </c>
      <c r="C160" s="5" t="s">
        <v>74</v>
      </c>
      <c r="D160" s="5" t="s">
        <v>68</v>
      </c>
      <c r="E160" s="5"/>
      <c r="F160" s="5"/>
      <c r="G160" s="5"/>
      <c r="H160" s="5" t="s">
        <v>510</v>
      </c>
      <c r="I160" s="5" t="s">
        <v>511</v>
      </c>
      <c r="J160" s="5" t="s">
        <v>512</v>
      </c>
    </row>
    <row r="161" customFormat="false" ht="23.85" hidden="false" customHeight="false" outlineLevel="0" collapsed="false">
      <c r="A161" s="5" t="s">
        <v>45</v>
      </c>
      <c r="B161" s="5" t="s">
        <v>513</v>
      </c>
      <c r="C161" s="5" t="s">
        <v>74</v>
      </c>
      <c r="D161" s="5" t="s">
        <v>68</v>
      </c>
      <c r="E161" s="5"/>
      <c r="F161" s="5"/>
      <c r="G161" s="5"/>
      <c r="H161" s="5"/>
      <c r="I161" s="5" t="s">
        <v>514</v>
      </c>
      <c r="J161" s="5" t="s">
        <v>515</v>
      </c>
    </row>
    <row r="162" customFormat="false" ht="15" hidden="false" customHeight="false" outlineLevel="0" collapsed="false">
      <c r="A162" s="5" t="s">
        <v>45</v>
      </c>
      <c r="B162" s="5" t="s">
        <v>516</v>
      </c>
      <c r="C162" s="5" t="s">
        <v>74</v>
      </c>
      <c r="D162" s="5" t="s">
        <v>68</v>
      </c>
      <c r="E162" s="5" t="s">
        <v>124</v>
      </c>
      <c r="F162" s="5"/>
      <c r="G162" s="5"/>
      <c r="H162" s="5"/>
      <c r="I162" s="5" t="s">
        <v>517</v>
      </c>
      <c r="J162" s="5" t="s">
        <v>518</v>
      </c>
    </row>
    <row r="163" customFormat="false" ht="23.85" hidden="false" customHeight="false" outlineLevel="0" collapsed="false">
      <c r="A163" s="5" t="s">
        <v>45</v>
      </c>
      <c r="B163" s="5" t="s">
        <v>519</v>
      </c>
      <c r="C163" s="5" t="s">
        <v>74</v>
      </c>
      <c r="D163" s="5" t="s">
        <v>68</v>
      </c>
      <c r="E163" s="5"/>
      <c r="F163" s="5"/>
      <c r="G163" s="5"/>
      <c r="H163" s="5"/>
      <c r="I163" s="5" t="s">
        <v>520</v>
      </c>
      <c r="J163" s="5" t="s">
        <v>521</v>
      </c>
    </row>
    <row r="164" customFormat="false" ht="23.85" hidden="false" customHeight="false" outlineLevel="0" collapsed="false">
      <c r="A164" s="5" t="s">
        <v>45</v>
      </c>
      <c r="B164" s="5" t="s">
        <v>522</v>
      </c>
      <c r="C164" s="5" t="s">
        <v>74</v>
      </c>
      <c r="D164" s="5" t="s">
        <v>68</v>
      </c>
      <c r="E164" s="5" t="s">
        <v>124</v>
      </c>
      <c r="F164" s="5"/>
      <c r="G164" s="5"/>
      <c r="H164" s="5"/>
      <c r="I164" s="5" t="s">
        <v>523</v>
      </c>
      <c r="J164" s="5" t="s">
        <v>524</v>
      </c>
    </row>
    <row r="165" customFormat="false" ht="23.85" hidden="false" customHeight="false" outlineLevel="0" collapsed="false">
      <c r="A165" s="5" t="s">
        <v>45</v>
      </c>
      <c r="B165" s="5" t="s">
        <v>243</v>
      </c>
      <c r="C165" s="5" t="s">
        <v>357</v>
      </c>
      <c r="D165" s="5" t="s">
        <v>68</v>
      </c>
      <c r="E165" s="5" t="s">
        <v>145</v>
      </c>
      <c r="F165" s="5"/>
      <c r="G165" s="5"/>
      <c r="H165" s="5" t="s">
        <v>525</v>
      </c>
      <c r="I165" s="5" t="s">
        <v>526</v>
      </c>
      <c r="J165" s="5" t="s">
        <v>527</v>
      </c>
    </row>
    <row r="166" customFormat="false" ht="23.85" hidden="false" customHeight="false" outlineLevel="0" collapsed="false">
      <c r="A166" s="5" t="s">
        <v>45</v>
      </c>
      <c r="B166" s="5" t="s">
        <v>528</v>
      </c>
      <c r="C166" s="5" t="s">
        <v>109</v>
      </c>
      <c r="D166" s="5" t="s">
        <v>92</v>
      </c>
      <c r="E166" s="5"/>
      <c r="F166" s="5"/>
      <c r="G166" s="5"/>
      <c r="H166" s="5"/>
      <c r="I166" s="5" t="s">
        <v>529</v>
      </c>
      <c r="J166" s="5" t="s">
        <v>115</v>
      </c>
    </row>
    <row r="167" customFormat="false" ht="23.85" hidden="false" customHeight="false" outlineLevel="0" collapsed="false">
      <c r="A167" s="5" t="s">
        <v>45</v>
      </c>
      <c r="B167" s="5" t="s">
        <v>108</v>
      </c>
      <c r="C167" s="5" t="s">
        <v>109</v>
      </c>
      <c r="D167" s="5" t="s">
        <v>68</v>
      </c>
      <c r="E167" s="5" t="s">
        <v>110</v>
      </c>
      <c r="F167" s="5"/>
      <c r="G167" s="5"/>
      <c r="H167" s="5"/>
      <c r="I167" s="5" t="s">
        <v>418</v>
      </c>
      <c r="J167" s="5" t="s">
        <v>302</v>
      </c>
    </row>
    <row r="168" customFormat="false" ht="15" hidden="false" customHeight="false" outlineLevel="0" collapsed="false">
      <c r="A168" s="5" t="s">
        <v>48</v>
      </c>
      <c r="B168" s="8" t="s">
        <v>530</v>
      </c>
      <c r="C168" s="5" t="s">
        <v>531</v>
      </c>
      <c r="D168" s="5" t="s">
        <v>68</v>
      </c>
      <c r="E168" s="5"/>
      <c r="F168" s="5" t="s">
        <v>70</v>
      </c>
      <c r="G168" s="5"/>
      <c r="H168" s="5" t="s">
        <v>532</v>
      </c>
      <c r="I168" s="5" t="s">
        <v>533</v>
      </c>
      <c r="J168" s="5" t="s">
        <v>534</v>
      </c>
    </row>
    <row r="169" customFormat="false" ht="15" hidden="false" customHeight="false" outlineLevel="0" collapsed="false">
      <c r="A169" s="5" t="s">
        <v>48</v>
      </c>
      <c r="B169" s="5" t="s">
        <v>535</v>
      </c>
      <c r="C169" s="5" t="s">
        <v>102</v>
      </c>
      <c r="D169" s="5" t="s">
        <v>92</v>
      </c>
      <c r="E169" s="5"/>
      <c r="F169" s="5"/>
      <c r="G169" s="5"/>
      <c r="H169" s="5"/>
      <c r="I169" s="5" t="s">
        <v>536</v>
      </c>
      <c r="J169" s="5" t="s">
        <v>537</v>
      </c>
    </row>
    <row r="170" customFormat="false" ht="15" hidden="false" customHeight="false" outlineLevel="0" collapsed="false">
      <c r="A170" s="5" t="s">
        <v>48</v>
      </c>
      <c r="B170" s="5" t="s">
        <v>538</v>
      </c>
      <c r="C170" s="5" t="s">
        <v>140</v>
      </c>
      <c r="D170" s="5" t="s">
        <v>92</v>
      </c>
      <c r="E170" s="5"/>
      <c r="F170" s="5"/>
      <c r="G170" s="5"/>
      <c r="H170" s="5"/>
      <c r="I170" s="5" t="s">
        <v>539</v>
      </c>
      <c r="J170" s="5" t="s">
        <v>540</v>
      </c>
    </row>
    <row r="171" customFormat="false" ht="15" hidden="false" customHeight="false" outlineLevel="0" collapsed="false">
      <c r="A171" s="5" t="s">
        <v>48</v>
      </c>
      <c r="B171" s="5" t="s">
        <v>541</v>
      </c>
      <c r="C171" s="5" t="s">
        <v>140</v>
      </c>
      <c r="D171" s="5" t="s">
        <v>92</v>
      </c>
      <c r="E171" s="5"/>
      <c r="F171" s="5"/>
      <c r="G171" s="5"/>
      <c r="H171" s="5"/>
      <c r="I171" s="5" t="s">
        <v>542</v>
      </c>
      <c r="J171" s="5" t="s">
        <v>543</v>
      </c>
    </row>
    <row r="172" customFormat="false" ht="23.85" hidden="false" customHeight="false" outlineLevel="0" collapsed="false">
      <c r="A172" s="5" t="s">
        <v>48</v>
      </c>
      <c r="B172" s="5" t="s">
        <v>108</v>
      </c>
      <c r="C172" s="5" t="s">
        <v>109</v>
      </c>
      <c r="D172" s="5" t="s">
        <v>68</v>
      </c>
      <c r="E172" s="5" t="s">
        <v>110</v>
      </c>
      <c r="F172" s="5"/>
      <c r="G172" s="5"/>
      <c r="H172" s="5"/>
      <c r="I172" s="5" t="s">
        <v>544</v>
      </c>
      <c r="J172" s="5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46"/>
  </cols>
  <sheetData>
    <row r="1" customFormat="false" ht="23.85" hidden="false" customHeight="false" outlineLevel="0" collapsed="false">
      <c r="A1" s="4" t="s">
        <v>546</v>
      </c>
      <c r="B1" s="4" t="s">
        <v>547</v>
      </c>
      <c r="C1" s="4" t="s">
        <v>548</v>
      </c>
      <c r="D1" s="4" t="s">
        <v>549</v>
      </c>
      <c r="E1" s="4" t="s">
        <v>550</v>
      </c>
      <c r="F1" s="4" t="s">
        <v>551</v>
      </c>
    </row>
    <row r="2" customFormat="false" ht="15" hidden="false" customHeight="false" outlineLevel="0" collapsed="false">
      <c r="A2" s="5" t="s">
        <v>9</v>
      </c>
      <c r="B2" s="5" t="s">
        <v>12</v>
      </c>
      <c r="C2" s="5" t="s">
        <v>552</v>
      </c>
      <c r="D2" s="5" t="s">
        <v>553</v>
      </c>
      <c r="E2" s="5" t="s">
        <v>554</v>
      </c>
      <c r="F2" s="5" t="s">
        <v>555</v>
      </c>
    </row>
    <row r="3" customFormat="false" ht="15" hidden="false" customHeight="false" outlineLevel="0" collapsed="false">
      <c r="A3" s="5" t="s">
        <v>9</v>
      </c>
      <c r="B3" s="5" t="s">
        <v>14</v>
      </c>
      <c r="C3" s="5" t="s">
        <v>552</v>
      </c>
      <c r="D3" s="5" t="s">
        <v>556</v>
      </c>
      <c r="E3" s="5" t="s">
        <v>554</v>
      </c>
      <c r="F3" s="5" t="s">
        <v>557</v>
      </c>
    </row>
    <row r="4" customFormat="false" ht="15" hidden="false" customHeight="false" outlineLevel="0" collapsed="false">
      <c r="A4" s="5" t="s">
        <v>9</v>
      </c>
      <c r="B4" s="5" t="s">
        <v>16</v>
      </c>
      <c r="C4" s="5" t="s">
        <v>552</v>
      </c>
      <c r="D4" s="5" t="s">
        <v>558</v>
      </c>
      <c r="E4" s="5" t="s">
        <v>554</v>
      </c>
      <c r="F4" s="5" t="s">
        <v>559</v>
      </c>
    </row>
    <row r="5" customFormat="false" ht="15" hidden="false" customHeight="false" outlineLevel="0" collapsed="false">
      <c r="A5" s="5" t="s">
        <v>18</v>
      </c>
      <c r="B5" s="5" t="s">
        <v>9</v>
      </c>
      <c r="C5" s="5" t="s">
        <v>560</v>
      </c>
      <c r="D5" s="5" t="s">
        <v>561</v>
      </c>
      <c r="E5" s="5" t="s">
        <v>562</v>
      </c>
      <c r="F5" s="5" t="s">
        <v>106</v>
      </c>
    </row>
    <row r="6" customFormat="false" ht="15" hidden="false" customHeight="false" outlineLevel="0" collapsed="false">
      <c r="A6" s="5" t="s">
        <v>18</v>
      </c>
      <c r="B6" s="5" t="s">
        <v>563</v>
      </c>
      <c r="C6" s="5" t="s">
        <v>560</v>
      </c>
      <c r="D6" s="5" t="s">
        <v>564</v>
      </c>
      <c r="E6" s="5" t="s">
        <v>562</v>
      </c>
      <c r="F6" s="5" t="s">
        <v>565</v>
      </c>
    </row>
    <row r="7" customFormat="false" ht="15" hidden="false" customHeight="false" outlineLevel="0" collapsed="false">
      <c r="A7" s="5" t="s">
        <v>9</v>
      </c>
      <c r="B7" s="5" t="s">
        <v>21</v>
      </c>
      <c r="C7" s="5" t="s">
        <v>560</v>
      </c>
      <c r="D7" s="5" t="s">
        <v>566</v>
      </c>
      <c r="E7" s="5" t="s">
        <v>554</v>
      </c>
      <c r="F7" s="5" t="s">
        <v>567</v>
      </c>
    </row>
    <row r="8" customFormat="false" ht="15" hidden="false" customHeight="false" outlineLevel="0" collapsed="false">
      <c r="A8" s="5" t="s">
        <v>21</v>
      </c>
      <c r="B8" s="5" t="s">
        <v>24</v>
      </c>
      <c r="C8" s="5" t="s">
        <v>560</v>
      </c>
      <c r="D8" s="5" t="s">
        <v>568</v>
      </c>
      <c r="E8" s="5" t="s">
        <v>554</v>
      </c>
      <c r="F8" s="5" t="s">
        <v>569</v>
      </c>
    </row>
    <row r="9" customFormat="false" ht="15" hidden="false" customHeight="false" outlineLevel="0" collapsed="false">
      <c r="A9" s="5" t="s">
        <v>9</v>
      </c>
      <c r="B9" s="5" t="s">
        <v>24</v>
      </c>
      <c r="C9" s="5" t="s">
        <v>560</v>
      </c>
      <c r="D9" s="5" t="s">
        <v>570</v>
      </c>
      <c r="E9" s="5" t="s">
        <v>554</v>
      </c>
      <c r="F9" s="5" t="s">
        <v>571</v>
      </c>
    </row>
    <row r="10" customFormat="false" ht="15" hidden="false" customHeight="false" outlineLevel="0" collapsed="false">
      <c r="A10" s="5" t="s">
        <v>9</v>
      </c>
      <c r="B10" s="5" t="s">
        <v>26</v>
      </c>
      <c r="C10" s="5" t="s">
        <v>572</v>
      </c>
      <c r="D10" s="5" t="s">
        <v>573</v>
      </c>
      <c r="E10" s="5" t="s">
        <v>554</v>
      </c>
      <c r="F10" s="5" t="s">
        <v>574</v>
      </c>
    </row>
    <row r="11" customFormat="false" ht="15" hidden="false" customHeight="false" outlineLevel="0" collapsed="false">
      <c r="A11" s="5" t="s">
        <v>21</v>
      </c>
      <c r="B11" s="5" t="s">
        <v>26</v>
      </c>
      <c r="C11" s="5" t="s">
        <v>560</v>
      </c>
      <c r="D11" s="5" t="s">
        <v>575</v>
      </c>
      <c r="E11" s="5" t="s">
        <v>562</v>
      </c>
      <c r="F11" s="5" t="s">
        <v>576</v>
      </c>
    </row>
    <row r="12" customFormat="false" ht="15" hidden="false" customHeight="false" outlineLevel="0" collapsed="false">
      <c r="A12" s="5" t="s">
        <v>26</v>
      </c>
      <c r="B12" s="5" t="s">
        <v>29</v>
      </c>
      <c r="C12" s="5" t="s">
        <v>560</v>
      </c>
      <c r="D12" s="5" t="s">
        <v>577</v>
      </c>
      <c r="E12" s="5" t="s">
        <v>554</v>
      </c>
      <c r="F12" s="5" t="s">
        <v>578</v>
      </c>
    </row>
    <row r="13" customFormat="false" ht="15" hidden="false" customHeight="false" outlineLevel="0" collapsed="false">
      <c r="A13" s="5" t="s">
        <v>9</v>
      </c>
      <c r="B13" s="5" t="s">
        <v>29</v>
      </c>
      <c r="C13" s="5" t="s">
        <v>560</v>
      </c>
      <c r="D13" s="5" t="s">
        <v>579</v>
      </c>
      <c r="E13" s="5" t="s">
        <v>562</v>
      </c>
      <c r="F13" s="5" t="s">
        <v>580</v>
      </c>
    </row>
    <row r="14" customFormat="false" ht="15" hidden="false" customHeight="false" outlineLevel="0" collapsed="false">
      <c r="A14" s="5" t="s">
        <v>31</v>
      </c>
      <c r="B14" s="5" t="s">
        <v>29</v>
      </c>
      <c r="C14" s="5" t="s">
        <v>560</v>
      </c>
      <c r="D14" s="5" t="s">
        <v>581</v>
      </c>
      <c r="E14" s="5" t="s">
        <v>562</v>
      </c>
      <c r="F14" s="5" t="s">
        <v>582</v>
      </c>
    </row>
    <row r="15" customFormat="false" ht="15" hidden="false" customHeight="false" outlineLevel="0" collapsed="false">
      <c r="A15" s="5" t="s">
        <v>26</v>
      </c>
      <c r="B15" s="5" t="s">
        <v>31</v>
      </c>
      <c r="C15" s="5" t="s">
        <v>560</v>
      </c>
      <c r="D15" s="5" t="s">
        <v>583</v>
      </c>
      <c r="E15" s="5" t="s">
        <v>562</v>
      </c>
      <c r="F15" s="5" t="s">
        <v>377</v>
      </c>
    </row>
    <row r="16" customFormat="false" ht="15" hidden="false" customHeight="false" outlineLevel="0" collapsed="false">
      <c r="A16" s="5" t="s">
        <v>9</v>
      </c>
      <c r="B16" s="5" t="s">
        <v>31</v>
      </c>
      <c r="C16" s="5" t="s">
        <v>572</v>
      </c>
      <c r="D16" s="5" t="s">
        <v>573</v>
      </c>
      <c r="E16" s="5" t="s">
        <v>584</v>
      </c>
      <c r="F16" s="5" t="s">
        <v>585</v>
      </c>
    </row>
    <row r="17" customFormat="false" ht="15" hidden="false" customHeight="false" outlineLevel="0" collapsed="false">
      <c r="A17" s="5" t="s">
        <v>21</v>
      </c>
      <c r="B17" s="5" t="s">
        <v>31</v>
      </c>
      <c r="C17" s="5" t="s">
        <v>560</v>
      </c>
      <c r="D17" s="5" t="s">
        <v>586</v>
      </c>
      <c r="E17" s="5" t="s">
        <v>562</v>
      </c>
      <c r="F17" s="5" t="s">
        <v>381</v>
      </c>
    </row>
    <row r="18" customFormat="false" ht="15" hidden="false" customHeight="false" outlineLevel="0" collapsed="false">
      <c r="A18" s="5" t="s">
        <v>31</v>
      </c>
      <c r="B18" s="5" t="s">
        <v>34</v>
      </c>
      <c r="C18" s="5" t="s">
        <v>587</v>
      </c>
      <c r="D18" s="5" t="s">
        <v>588</v>
      </c>
      <c r="E18" s="5" t="s">
        <v>554</v>
      </c>
      <c r="F18" s="5" t="s">
        <v>589</v>
      </c>
    </row>
    <row r="19" customFormat="false" ht="15" hidden="false" customHeight="false" outlineLevel="0" collapsed="false">
      <c r="A19" s="5" t="s">
        <v>31</v>
      </c>
      <c r="B19" s="5" t="s">
        <v>36</v>
      </c>
      <c r="C19" s="5" t="s">
        <v>552</v>
      </c>
      <c r="D19" s="5" t="s">
        <v>590</v>
      </c>
      <c r="E19" s="5" t="s">
        <v>554</v>
      </c>
      <c r="F19" s="5" t="s">
        <v>591</v>
      </c>
    </row>
    <row r="20" customFormat="false" ht="15" hidden="false" customHeight="false" outlineLevel="0" collapsed="false">
      <c r="A20" s="5" t="s">
        <v>31</v>
      </c>
      <c r="B20" s="5" t="s">
        <v>38</v>
      </c>
      <c r="C20" s="5" t="s">
        <v>560</v>
      </c>
      <c r="D20" s="5" t="s">
        <v>592</v>
      </c>
      <c r="E20" s="5" t="s">
        <v>554</v>
      </c>
      <c r="F20" s="5" t="s">
        <v>593</v>
      </c>
    </row>
    <row r="21" customFormat="false" ht="15" hidden="false" customHeight="false" outlineLevel="0" collapsed="false">
      <c r="A21" s="5" t="s">
        <v>21</v>
      </c>
      <c r="B21" s="5" t="s">
        <v>40</v>
      </c>
      <c r="C21" s="5" t="s">
        <v>560</v>
      </c>
      <c r="D21" s="5" t="s">
        <v>594</v>
      </c>
      <c r="E21" s="5" t="s">
        <v>554</v>
      </c>
      <c r="F21" s="5" t="s">
        <v>595</v>
      </c>
    </row>
    <row r="22" customFormat="false" ht="15" hidden="false" customHeight="false" outlineLevel="0" collapsed="false">
      <c r="A22" s="5" t="s">
        <v>9</v>
      </c>
      <c r="B22" s="5" t="s">
        <v>40</v>
      </c>
      <c r="C22" s="5" t="s">
        <v>560</v>
      </c>
      <c r="D22" s="5" t="s">
        <v>596</v>
      </c>
      <c r="E22" s="5" t="s">
        <v>554</v>
      </c>
      <c r="F22" s="5" t="s">
        <v>597</v>
      </c>
    </row>
    <row r="23" customFormat="false" ht="15" hidden="false" customHeight="false" outlineLevel="0" collapsed="false">
      <c r="A23" s="5" t="s">
        <v>31</v>
      </c>
      <c r="B23" s="5" t="s">
        <v>40</v>
      </c>
      <c r="C23" s="5" t="s">
        <v>552</v>
      </c>
      <c r="D23" s="5" t="s">
        <v>598</v>
      </c>
      <c r="E23" s="5" t="s">
        <v>562</v>
      </c>
      <c r="F23" s="5" t="s">
        <v>485</v>
      </c>
    </row>
    <row r="24" customFormat="false" ht="15" hidden="false" customHeight="false" outlineLevel="0" collapsed="false">
      <c r="A24" s="5" t="s">
        <v>40</v>
      </c>
      <c r="B24" s="5" t="s">
        <v>43</v>
      </c>
      <c r="C24" s="5" t="s">
        <v>560</v>
      </c>
      <c r="D24" s="5" t="s">
        <v>599</v>
      </c>
      <c r="E24" s="5" t="s">
        <v>554</v>
      </c>
      <c r="F24" s="5" t="s">
        <v>600</v>
      </c>
    </row>
    <row r="25" customFormat="false" ht="15" hidden="false" customHeight="false" outlineLevel="0" collapsed="false">
      <c r="A25" s="5" t="s">
        <v>9</v>
      </c>
      <c r="B25" s="5" t="s">
        <v>43</v>
      </c>
      <c r="C25" s="5" t="s">
        <v>560</v>
      </c>
      <c r="D25" s="5" t="s">
        <v>601</v>
      </c>
      <c r="E25" s="5" t="s">
        <v>554</v>
      </c>
      <c r="F25" s="5" t="s">
        <v>602</v>
      </c>
    </row>
    <row r="26" customFormat="false" ht="15" hidden="false" customHeight="false" outlineLevel="0" collapsed="false">
      <c r="A26" s="5" t="s">
        <v>9</v>
      </c>
      <c r="B26" s="5" t="s">
        <v>45</v>
      </c>
      <c r="C26" s="5" t="s">
        <v>560</v>
      </c>
      <c r="D26" s="5" t="s">
        <v>603</v>
      </c>
      <c r="E26" s="5" t="s">
        <v>554</v>
      </c>
      <c r="F26" s="5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4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4" t="s">
        <v>4</v>
      </c>
      <c r="B1" s="4" t="s">
        <v>605</v>
      </c>
      <c r="C1" s="4" t="s">
        <v>606</v>
      </c>
      <c r="D1" s="4" t="s">
        <v>607</v>
      </c>
      <c r="E1" s="4" t="s">
        <v>608</v>
      </c>
    </row>
    <row r="2" customFormat="false" ht="15" hidden="false" customHeight="false" outlineLevel="0" collapsed="false">
      <c r="A2" s="5" t="s">
        <v>9</v>
      </c>
      <c r="B2" s="5" t="s">
        <v>609</v>
      </c>
      <c r="C2" s="5" t="s">
        <v>73</v>
      </c>
      <c r="D2" s="5" t="s">
        <v>610</v>
      </c>
      <c r="E2" s="5" t="s">
        <v>611</v>
      </c>
    </row>
    <row r="3" customFormat="false" ht="15" hidden="false" customHeight="false" outlineLevel="0" collapsed="false">
      <c r="A3" s="5" t="s">
        <v>26</v>
      </c>
      <c r="B3" s="5" t="s">
        <v>612</v>
      </c>
      <c r="C3" s="5" t="s">
        <v>613</v>
      </c>
      <c r="D3" s="5" t="s">
        <v>610</v>
      </c>
      <c r="E3" s="5" t="s">
        <v>614</v>
      </c>
    </row>
    <row r="4" customFormat="false" ht="15" hidden="false" customHeight="false" outlineLevel="0" collapsed="false">
      <c r="A4" s="5" t="s">
        <v>26</v>
      </c>
      <c r="B4" s="5" t="s">
        <v>615</v>
      </c>
      <c r="C4" s="5" t="s">
        <v>616</v>
      </c>
      <c r="D4" s="5"/>
      <c r="E4" s="5" t="s">
        <v>617</v>
      </c>
    </row>
    <row r="5" customFormat="false" ht="15" hidden="false" customHeight="false" outlineLevel="0" collapsed="false">
      <c r="A5" s="5" t="s">
        <v>26</v>
      </c>
      <c r="B5" s="5" t="s">
        <v>618</v>
      </c>
      <c r="C5" s="5" t="s">
        <v>619</v>
      </c>
      <c r="D5" s="5"/>
      <c r="E5" s="5" t="s">
        <v>620</v>
      </c>
    </row>
    <row r="6" customFormat="false" ht="15" hidden="false" customHeight="false" outlineLevel="0" collapsed="false">
      <c r="A6" s="5" t="s">
        <v>29</v>
      </c>
      <c r="B6" s="5" t="s">
        <v>621</v>
      </c>
      <c r="C6" s="5" t="s">
        <v>622</v>
      </c>
      <c r="D6" s="5"/>
      <c r="E6" s="5" t="s">
        <v>623</v>
      </c>
    </row>
    <row r="7" customFormat="false" ht="15" hidden="false" customHeight="false" outlineLevel="0" collapsed="false">
      <c r="A7" s="5" t="s">
        <v>21</v>
      </c>
      <c r="B7" s="5" t="s">
        <v>624</v>
      </c>
      <c r="C7" s="5" t="s">
        <v>625</v>
      </c>
      <c r="D7" s="5" t="s">
        <v>626</v>
      </c>
      <c r="E7" s="5" t="s">
        <v>627</v>
      </c>
    </row>
    <row r="8" customFormat="false" ht="15" hidden="false" customHeight="false" outlineLevel="0" collapsed="false">
      <c r="A8" s="5" t="s">
        <v>21</v>
      </c>
      <c r="B8" s="5" t="s">
        <v>628</v>
      </c>
      <c r="C8" s="5" t="s">
        <v>629</v>
      </c>
      <c r="D8" s="5" t="s">
        <v>626</v>
      </c>
      <c r="E8" s="5" t="s">
        <v>630</v>
      </c>
    </row>
    <row r="9" customFormat="false" ht="15" hidden="false" customHeight="false" outlineLevel="0" collapsed="false">
      <c r="A9" s="5" t="s">
        <v>31</v>
      </c>
      <c r="B9" s="5" t="s">
        <v>631</v>
      </c>
      <c r="C9" s="5" t="s">
        <v>373</v>
      </c>
      <c r="D9" s="5" t="s">
        <v>610</v>
      </c>
      <c r="E9" s="5" t="s">
        <v>632</v>
      </c>
    </row>
    <row r="10" customFormat="false" ht="15" hidden="false" customHeight="false" outlineLevel="0" collapsed="false">
      <c r="A10" s="5" t="s">
        <v>31</v>
      </c>
      <c r="B10" s="5" t="s">
        <v>633</v>
      </c>
      <c r="C10" s="5" t="s">
        <v>634</v>
      </c>
      <c r="D10" s="5"/>
      <c r="E10" s="5" t="s">
        <v>635</v>
      </c>
    </row>
    <row r="11" customFormat="false" ht="15" hidden="false" customHeight="false" outlineLevel="0" collapsed="false">
      <c r="A11" s="5" t="s">
        <v>31</v>
      </c>
      <c r="B11" s="5" t="s">
        <v>636</v>
      </c>
      <c r="C11" s="5" t="s">
        <v>637</v>
      </c>
      <c r="D11" s="5"/>
      <c r="E11" s="5" t="s">
        <v>638</v>
      </c>
    </row>
    <row r="12" customFormat="false" ht="15" hidden="false" customHeight="false" outlineLevel="0" collapsed="false">
      <c r="A12" s="5" t="s">
        <v>34</v>
      </c>
      <c r="B12" s="5" t="s">
        <v>639</v>
      </c>
      <c r="C12" s="5" t="s">
        <v>403</v>
      </c>
      <c r="D12" s="5"/>
      <c r="E12" s="5" t="s">
        <v>640</v>
      </c>
    </row>
    <row r="13" customFormat="false" ht="15" hidden="false" customHeight="false" outlineLevel="0" collapsed="false">
      <c r="A13" s="5" t="s">
        <v>38</v>
      </c>
      <c r="B13" s="5" t="s">
        <v>641</v>
      </c>
      <c r="C13" s="5" t="s">
        <v>642</v>
      </c>
      <c r="D13" s="5" t="s">
        <v>643</v>
      </c>
      <c r="E13" s="5" t="s">
        <v>644</v>
      </c>
    </row>
    <row r="14" customFormat="false" ht="15" hidden="false" customHeight="false" outlineLevel="0" collapsed="false">
      <c r="A14" s="5" t="s">
        <v>40</v>
      </c>
      <c r="B14" s="5" t="s">
        <v>645</v>
      </c>
      <c r="C14" s="5" t="s">
        <v>646</v>
      </c>
      <c r="D14" s="5" t="s">
        <v>643</v>
      </c>
      <c r="E14" s="5" t="s">
        <v>595</v>
      </c>
    </row>
    <row r="15" customFormat="false" ht="15" hidden="false" customHeight="false" outlineLevel="0" collapsed="false">
      <c r="A15" s="5" t="s">
        <v>40</v>
      </c>
      <c r="B15" s="5" t="s">
        <v>647</v>
      </c>
      <c r="C15" s="5" t="s">
        <v>648</v>
      </c>
      <c r="D15" s="5"/>
      <c r="E15" s="5" t="s">
        <v>649</v>
      </c>
    </row>
    <row r="16" customFormat="false" ht="15" hidden="false" customHeight="false" outlineLevel="0" collapsed="false">
      <c r="A16" s="5" t="s">
        <v>40</v>
      </c>
      <c r="B16" s="5" t="s">
        <v>650</v>
      </c>
      <c r="C16" s="5" t="s">
        <v>651</v>
      </c>
      <c r="D16" s="5" t="s">
        <v>626</v>
      </c>
      <c r="E16" s="5" t="s">
        <v>652</v>
      </c>
    </row>
    <row r="17" customFormat="false" ht="15" hidden="false" customHeight="false" outlineLevel="0" collapsed="false">
      <c r="A17" s="5" t="s">
        <v>43</v>
      </c>
      <c r="B17" s="5" t="s">
        <v>653</v>
      </c>
      <c r="C17" s="5" t="s">
        <v>654</v>
      </c>
      <c r="D17" s="5"/>
      <c r="E17" s="5" t="s">
        <v>655</v>
      </c>
    </row>
    <row r="18" customFormat="false" ht="15" hidden="false" customHeight="false" outlineLevel="0" collapsed="false">
      <c r="A18" s="5" t="s">
        <v>43</v>
      </c>
      <c r="B18" s="5" t="s">
        <v>656</v>
      </c>
      <c r="C18" s="5" t="s">
        <v>294</v>
      </c>
      <c r="D18" s="5"/>
      <c r="E18" s="5" t="s">
        <v>657</v>
      </c>
    </row>
    <row r="19" customFormat="false" ht="15" hidden="false" customHeight="false" outlineLevel="0" collapsed="false">
      <c r="A19" s="5" t="s">
        <v>45</v>
      </c>
      <c r="B19" s="5" t="s">
        <v>658</v>
      </c>
      <c r="C19" s="5" t="s">
        <v>659</v>
      </c>
      <c r="D19" s="5"/>
      <c r="E19" s="5" t="s">
        <v>660</v>
      </c>
    </row>
    <row r="20" customFormat="false" ht="15" hidden="false" customHeight="false" outlineLevel="0" collapsed="false">
      <c r="A20" s="5" t="s">
        <v>45</v>
      </c>
      <c r="B20" s="5" t="s">
        <v>661</v>
      </c>
      <c r="C20" s="5" t="s">
        <v>662</v>
      </c>
      <c r="D20" s="5" t="s">
        <v>626</v>
      </c>
      <c r="E20" s="5" t="s">
        <v>663</v>
      </c>
    </row>
    <row r="21" customFormat="false" ht="15" hidden="false" customHeight="false" outlineLevel="0" collapsed="false">
      <c r="A21" s="5" t="s">
        <v>24</v>
      </c>
      <c r="B21" s="5" t="s">
        <v>664</v>
      </c>
      <c r="C21" s="5" t="s">
        <v>294</v>
      </c>
      <c r="D21" s="5"/>
      <c r="E21" s="5" t="s">
        <v>665</v>
      </c>
    </row>
    <row r="22" customFormat="false" ht="15" hidden="false" customHeight="false" outlineLevel="0" collapsed="false">
      <c r="A22" s="5" t="s">
        <v>18</v>
      </c>
      <c r="B22" s="5" t="s">
        <v>666</v>
      </c>
      <c r="C22" s="5" t="s">
        <v>236</v>
      </c>
      <c r="D22" s="5"/>
      <c r="E22" s="5" t="s">
        <v>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56"/>
  </cols>
  <sheetData>
    <row r="1" customFormat="false" ht="15" hidden="false" customHeight="false" outlineLevel="0" collapsed="false">
      <c r="A1" s="4" t="s">
        <v>58</v>
      </c>
      <c r="B1" s="4" t="s">
        <v>668</v>
      </c>
      <c r="C1" s="4" t="s">
        <v>551</v>
      </c>
    </row>
    <row r="2" customFormat="false" ht="15" hidden="false" customHeight="false" outlineLevel="0" collapsed="false">
      <c r="A2" s="5" t="s">
        <v>669</v>
      </c>
      <c r="B2" s="5" t="s">
        <v>86</v>
      </c>
      <c r="C2" s="5" t="s">
        <v>670</v>
      </c>
    </row>
    <row r="3" customFormat="false" ht="15" hidden="false" customHeight="false" outlineLevel="0" collapsed="false">
      <c r="A3" s="5" t="s">
        <v>669</v>
      </c>
      <c r="B3" s="5" t="s">
        <v>671</v>
      </c>
      <c r="C3" s="5" t="s">
        <v>672</v>
      </c>
    </row>
    <row r="4" customFormat="false" ht="15" hidden="false" customHeight="false" outlineLevel="0" collapsed="false">
      <c r="A4" s="5" t="s">
        <v>673</v>
      </c>
      <c r="B4" s="5" t="s">
        <v>100</v>
      </c>
      <c r="C4" s="5" t="s">
        <v>674</v>
      </c>
    </row>
    <row r="5" customFormat="false" ht="15" hidden="false" customHeight="false" outlineLevel="0" collapsed="false">
      <c r="A5" s="5" t="s">
        <v>673</v>
      </c>
      <c r="B5" s="5" t="s">
        <v>344</v>
      </c>
      <c r="C5" s="5" t="s">
        <v>675</v>
      </c>
    </row>
    <row r="6" customFormat="false" ht="15" hidden="false" customHeight="false" outlineLevel="0" collapsed="false">
      <c r="A6" s="5" t="s">
        <v>676</v>
      </c>
      <c r="B6" s="5" t="s">
        <v>677</v>
      </c>
      <c r="C6" s="5" t="s">
        <v>678</v>
      </c>
    </row>
    <row r="7" customFormat="false" ht="15" hidden="false" customHeight="false" outlineLevel="0" collapsed="false">
      <c r="A7" s="5" t="s">
        <v>676</v>
      </c>
      <c r="B7" s="5" t="s">
        <v>263</v>
      </c>
      <c r="C7" s="5" t="s">
        <v>679</v>
      </c>
    </row>
    <row r="8" customFormat="false" ht="15" hidden="false" customHeight="false" outlineLevel="0" collapsed="false">
      <c r="A8" s="5" t="s">
        <v>676</v>
      </c>
      <c r="B8" s="5" t="s">
        <v>680</v>
      </c>
      <c r="C8" s="5" t="s">
        <v>681</v>
      </c>
    </row>
    <row r="9" customFormat="false" ht="15" hidden="false" customHeight="false" outlineLevel="0" collapsed="false">
      <c r="A9" s="5" t="s">
        <v>682</v>
      </c>
      <c r="B9" s="5" t="s">
        <v>338</v>
      </c>
      <c r="C9" s="5" t="s">
        <v>683</v>
      </c>
    </row>
    <row r="10" customFormat="false" ht="15" hidden="false" customHeight="false" outlineLevel="0" collapsed="false">
      <c r="A10" s="5" t="s">
        <v>682</v>
      </c>
      <c r="B10" s="5" t="s">
        <v>684</v>
      </c>
      <c r="C10" s="5" t="s">
        <v>685</v>
      </c>
    </row>
    <row r="11" customFormat="false" ht="15" hidden="false" customHeight="false" outlineLevel="0" collapsed="false">
      <c r="A11" s="5" t="s">
        <v>682</v>
      </c>
      <c r="B11" s="5" t="s">
        <v>356</v>
      </c>
      <c r="C11" s="5" t="s">
        <v>686</v>
      </c>
    </row>
    <row r="12" customFormat="false" ht="15" hidden="false" customHeight="false" outlineLevel="0" collapsed="false">
      <c r="A12" s="5" t="s">
        <v>682</v>
      </c>
      <c r="B12" s="5" t="s">
        <v>687</v>
      </c>
      <c r="C12" s="5" t="s">
        <v>688</v>
      </c>
    </row>
    <row r="13" customFormat="false" ht="15" hidden="false" customHeight="false" outlineLevel="0" collapsed="false">
      <c r="A13" s="5" t="s">
        <v>682</v>
      </c>
      <c r="B13" s="5" t="s">
        <v>689</v>
      </c>
      <c r="C13" s="5" t="s">
        <v>690</v>
      </c>
    </row>
    <row r="14" customFormat="false" ht="15" hidden="false" customHeight="false" outlineLevel="0" collapsed="false">
      <c r="A14" s="5" t="s">
        <v>691</v>
      </c>
      <c r="B14" s="5" t="s">
        <v>452</v>
      </c>
      <c r="C14" s="5" t="s">
        <v>692</v>
      </c>
    </row>
    <row r="15" customFormat="false" ht="15" hidden="false" customHeight="false" outlineLevel="0" collapsed="false">
      <c r="A15" s="5" t="s">
        <v>691</v>
      </c>
      <c r="B15" s="5" t="s">
        <v>693</v>
      </c>
      <c r="C15" s="5" t="s">
        <v>694</v>
      </c>
    </row>
    <row r="16" customFormat="false" ht="15" hidden="false" customHeight="false" outlineLevel="0" collapsed="false">
      <c r="A16" s="5" t="s">
        <v>691</v>
      </c>
      <c r="B16" s="5" t="s">
        <v>695</v>
      </c>
      <c r="C16" s="5" t="s">
        <v>696</v>
      </c>
    </row>
    <row r="17" customFormat="false" ht="15" hidden="false" customHeight="false" outlineLevel="0" collapsed="false">
      <c r="A17" s="5" t="s">
        <v>691</v>
      </c>
      <c r="B17" s="5" t="s">
        <v>697</v>
      </c>
      <c r="C17" s="5" t="s">
        <v>698</v>
      </c>
    </row>
    <row r="18" customFormat="false" ht="15" hidden="false" customHeight="false" outlineLevel="0" collapsed="false">
      <c r="A18" s="5" t="s">
        <v>699</v>
      </c>
      <c r="B18" s="5" t="s">
        <v>231</v>
      </c>
      <c r="C18" s="5" t="s">
        <v>700</v>
      </c>
    </row>
    <row r="19" customFormat="false" ht="15" hidden="false" customHeight="false" outlineLevel="0" collapsed="false">
      <c r="A19" s="5" t="s">
        <v>699</v>
      </c>
      <c r="B19" s="5" t="s">
        <v>299</v>
      </c>
      <c r="C19" s="5" t="s">
        <v>701</v>
      </c>
    </row>
    <row r="20" customFormat="false" ht="15" hidden="false" customHeight="false" outlineLevel="0" collapsed="false">
      <c r="A20" s="5" t="s">
        <v>699</v>
      </c>
      <c r="B20" s="5" t="s">
        <v>251</v>
      </c>
      <c r="C20" s="5" t="s">
        <v>702</v>
      </c>
    </row>
    <row r="21" customFormat="false" ht="15" hidden="false" customHeight="false" outlineLevel="0" collapsed="false">
      <c r="A21" s="5" t="s">
        <v>703</v>
      </c>
      <c r="B21" s="5" t="s">
        <v>704</v>
      </c>
      <c r="C21" s="5" t="s">
        <v>705</v>
      </c>
    </row>
    <row r="22" customFormat="false" ht="15" hidden="false" customHeight="false" outlineLevel="0" collapsed="false">
      <c r="A22" s="5" t="s">
        <v>703</v>
      </c>
      <c r="B22" s="5" t="s">
        <v>706</v>
      </c>
      <c r="C22" s="5" t="s">
        <v>707</v>
      </c>
    </row>
    <row r="23" customFormat="false" ht="15" hidden="false" customHeight="false" outlineLevel="0" collapsed="false">
      <c r="A23" s="5" t="s">
        <v>703</v>
      </c>
      <c r="B23" s="5" t="s">
        <v>708</v>
      </c>
      <c r="C23" s="5" t="s">
        <v>709</v>
      </c>
    </row>
    <row r="24" customFormat="false" ht="15" hidden="false" customHeight="false" outlineLevel="0" collapsed="false">
      <c r="A24" s="5" t="s">
        <v>703</v>
      </c>
      <c r="B24" s="5" t="s">
        <v>448</v>
      </c>
      <c r="C24" s="5" t="s">
        <v>710</v>
      </c>
    </row>
    <row r="25" customFormat="false" ht="15" hidden="false" customHeight="false" outlineLevel="0" collapsed="false">
      <c r="A25" s="5" t="s">
        <v>703</v>
      </c>
      <c r="B25" s="5" t="s">
        <v>711</v>
      </c>
      <c r="C25" s="5" t="s">
        <v>712</v>
      </c>
    </row>
    <row r="26" customFormat="false" ht="15" hidden="false" customHeight="false" outlineLevel="0" collapsed="false">
      <c r="A26" s="5" t="s">
        <v>713</v>
      </c>
      <c r="B26" s="5" t="s">
        <v>452</v>
      </c>
      <c r="C26" s="5" t="s">
        <v>714</v>
      </c>
    </row>
    <row r="27" customFormat="false" ht="15" hidden="false" customHeight="false" outlineLevel="0" collapsed="false">
      <c r="A27" s="5" t="s">
        <v>713</v>
      </c>
      <c r="B27" s="5" t="s">
        <v>715</v>
      </c>
      <c r="C27" s="5" t="s">
        <v>716</v>
      </c>
    </row>
    <row r="28" customFormat="false" ht="15" hidden="false" customHeight="false" outlineLevel="0" collapsed="false">
      <c r="A28" s="5" t="s">
        <v>717</v>
      </c>
      <c r="B28" s="5" t="s">
        <v>718</v>
      </c>
      <c r="C28" s="5" t="s">
        <v>719</v>
      </c>
    </row>
    <row r="29" customFormat="false" ht="15" hidden="false" customHeight="false" outlineLevel="0" collapsed="false">
      <c r="A29" s="5" t="s">
        <v>720</v>
      </c>
      <c r="B29" s="5" t="s">
        <v>452</v>
      </c>
      <c r="C29" s="5" t="s">
        <v>721</v>
      </c>
    </row>
    <row r="30" customFormat="false" ht="15" hidden="false" customHeight="false" outlineLevel="0" collapsed="false">
      <c r="A30" s="5" t="s">
        <v>720</v>
      </c>
      <c r="B30" s="5" t="s">
        <v>722</v>
      </c>
      <c r="C30" s="5" t="s">
        <v>723</v>
      </c>
    </row>
    <row r="31" customFormat="false" ht="15" hidden="false" customHeight="false" outlineLevel="0" collapsed="false">
      <c r="A31" s="5" t="s">
        <v>720</v>
      </c>
      <c r="B31" s="5" t="s">
        <v>724</v>
      </c>
      <c r="C31" s="5" t="s">
        <v>725</v>
      </c>
    </row>
    <row r="32" customFormat="false" ht="15" hidden="false" customHeight="false" outlineLevel="0" collapsed="false">
      <c r="A32" s="5" t="s">
        <v>720</v>
      </c>
      <c r="B32" s="5" t="s">
        <v>726</v>
      </c>
      <c r="C32" s="5" t="s">
        <v>727</v>
      </c>
    </row>
    <row r="33" customFormat="false" ht="15" hidden="false" customHeight="false" outlineLevel="0" collapsed="false">
      <c r="A33" s="5" t="s">
        <v>728</v>
      </c>
      <c r="B33" s="5" t="s">
        <v>285</v>
      </c>
      <c r="C33" s="5" t="s">
        <v>729</v>
      </c>
    </row>
    <row r="34" customFormat="false" ht="15" hidden="false" customHeight="false" outlineLevel="0" collapsed="false">
      <c r="A34" s="5" t="s">
        <v>728</v>
      </c>
      <c r="B34" s="5" t="s">
        <v>730</v>
      </c>
      <c r="C34" s="5" t="s">
        <v>731</v>
      </c>
    </row>
    <row r="35" customFormat="false" ht="15" hidden="false" customHeight="false" outlineLevel="0" collapsed="false">
      <c r="A35" s="5" t="s">
        <v>728</v>
      </c>
      <c r="B35" s="5" t="s">
        <v>732</v>
      </c>
      <c r="C35" s="5" t="s">
        <v>733</v>
      </c>
    </row>
    <row r="36" customFormat="false" ht="15" hidden="false" customHeight="false" outlineLevel="0" collapsed="false">
      <c r="A36" s="5" t="s">
        <v>734</v>
      </c>
      <c r="B36" s="5" t="s">
        <v>512</v>
      </c>
      <c r="C36" s="5" t="s">
        <v>735</v>
      </c>
    </row>
    <row r="37" customFormat="false" ht="15" hidden="false" customHeight="false" outlineLevel="0" collapsed="false">
      <c r="A37" s="5" t="s">
        <v>734</v>
      </c>
      <c r="B37" s="5" t="s">
        <v>736</v>
      </c>
      <c r="C37" s="5" t="s">
        <v>737</v>
      </c>
    </row>
    <row r="38" customFormat="false" ht="15" hidden="false" customHeight="false" outlineLevel="0" collapsed="false">
      <c r="A38" s="5" t="s">
        <v>734</v>
      </c>
      <c r="B38" s="5" t="s">
        <v>738</v>
      </c>
      <c r="C38" s="5" t="s">
        <v>739</v>
      </c>
    </row>
    <row r="39" customFormat="false" ht="15" hidden="false" customHeight="false" outlineLevel="0" collapsed="false">
      <c r="A39" s="5" t="s">
        <v>734</v>
      </c>
      <c r="B39" s="5" t="s">
        <v>740</v>
      </c>
      <c r="C39" s="5" t="s">
        <v>741</v>
      </c>
    </row>
    <row r="40" customFormat="false" ht="15" hidden="false" customHeight="false" outlineLevel="0" collapsed="false">
      <c r="A40" s="5" t="s">
        <v>734</v>
      </c>
      <c r="B40" s="5" t="s">
        <v>742</v>
      </c>
      <c r="C40" s="5" t="s">
        <v>743</v>
      </c>
    </row>
    <row r="41" customFormat="false" ht="15" hidden="false" customHeight="false" outlineLevel="0" collapsed="false">
      <c r="A41" s="5" t="s">
        <v>734</v>
      </c>
      <c r="B41" s="5" t="s">
        <v>744</v>
      </c>
      <c r="C41" s="5" t="s">
        <v>745</v>
      </c>
    </row>
    <row r="42" customFormat="false" ht="15" hidden="false" customHeight="false" outlineLevel="0" collapsed="false">
      <c r="A42" s="5" t="s">
        <v>734</v>
      </c>
      <c r="B42" s="5" t="s">
        <v>746</v>
      </c>
      <c r="C42" s="5" t="s">
        <v>747</v>
      </c>
    </row>
    <row r="43" customFormat="false" ht="15" hidden="false" customHeight="false" outlineLevel="0" collapsed="false">
      <c r="A43" s="5" t="s">
        <v>734</v>
      </c>
      <c r="B43" s="5" t="s">
        <v>748</v>
      </c>
      <c r="C43" s="5" t="s">
        <v>749</v>
      </c>
    </row>
    <row r="44" customFormat="false" ht="15" hidden="false" customHeight="false" outlineLevel="0" collapsed="false">
      <c r="A44" s="5" t="s">
        <v>734</v>
      </c>
      <c r="B44" s="5" t="s">
        <v>750</v>
      </c>
      <c r="C44" s="5" t="s">
        <v>751</v>
      </c>
    </row>
    <row r="45" customFormat="false" ht="15" hidden="false" customHeight="false" outlineLevel="0" collapsed="false">
      <c r="A45" s="5" t="s">
        <v>734</v>
      </c>
      <c r="B45" s="5" t="s">
        <v>752</v>
      </c>
      <c r="C45" s="5" t="s">
        <v>753</v>
      </c>
    </row>
    <row r="46" customFormat="false" ht="15" hidden="false" customHeight="false" outlineLevel="0" collapsed="false">
      <c r="A46" s="5" t="s">
        <v>734</v>
      </c>
      <c r="B46" s="5" t="s">
        <v>754</v>
      </c>
      <c r="C46" s="5" t="s">
        <v>755</v>
      </c>
    </row>
    <row r="47" customFormat="false" ht="15" hidden="false" customHeight="false" outlineLevel="0" collapsed="false">
      <c r="A47" s="5" t="s">
        <v>734</v>
      </c>
      <c r="B47" s="5" t="s">
        <v>756</v>
      </c>
      <c r="C47" s="5" t="s">
        <v>757</v>
      </c>
    </row>
    <row r="48" customFormat="false" ht="15" hidden="false" customHeight="false" outlineLevel="0" collapsed="false">
      <c r="A48" s="5" t="s">
        <v>734</v>
      </c>
      <c r="B48" s="5" t="s">
        <v>758</v>
      </c>
      <c r="C48" s="5" t="s">
        <v>759</v>
      </c>
    </row>
    <row r="49" customFormat="false" ht="15" hidden="false" customHeight="false" outlineLevel="0" collapsed="false">
      <c r="A49" s="5" t="s">
        <v>734</v>
      </c>
      <c r="B49" s="5" t="s">
        <v>760</v>
      </c>
      <c r="C49" s="5" t="s">
        <v>761</v>
      </c>
    </row>
    <row r="50" customFormat="false" ht="15" hidden="false" customHeight="false" outlineLevel="0" collapsed="false">
      <c r="A50" s="5" t="s">
        <v>734</v>
      </c>
      <c r="B50" s="5" t="s">
        <v>762</v>
      </c>
      <c r="C50" s="5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2026-10-28T14:51:25Z</dcterms:created>
  <dc:creator>openpyxl</dc:creator>
  <dc:description/>
  <dc:language>en-US</dc:language>
  <cp:lastModifiedBy/>
  <dcterms:modified xsi:type="dcterms:W3CDTF">2026-10-28T14:51:25Z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